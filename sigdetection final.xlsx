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32" yWindow="321" windowWidth="19549" windowHeight="7521" activeTab="1"/>
  </bookViews>
  <sheets>
    <sheet name="532194_signal detection_2025-09" sheetId="1" r:id="rId1"/>
    <sheet name="Analysis" sheetId="2" r:id="rId2"/>
  </sheets>
  <calcPr calcId="144525"/>
</workbook>
</file>

<file path=xl/calcChain.xml><?xml version="1.0" encoding="utf-8"?>
<calcChain xmlns="http://schemas.openxmlformats.org/spreadsheetml/2006/main">
  <c r="O14" i="2" l="1"/>
  <c r="O13" i="2"/>
  <c r="O8" i="2" l="1"/>
  <c r="O9" i="2"/>
  <c r="G104" i="2"/>
  <c r="F104" i="2"/>
  <c r="E104" i="2"/>
  <c r="D104" i="2"/>
</calcChain>
</file>

<file path=xl/sharedStrings.xml><?xml version="1.0" encoding="utf-8"?>
<sst xmlns="http://schemas.openxmlformats.org/spreadsheetml/2006/main" count="955" uniqueCount="56">
  <si>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</si>
  <si>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</si>
  <si>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</si>
  <si>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</si>
  <si>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</si>
  <si>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</si>
  <si>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</si>
  <si>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</si>
  <si>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</si>
  <si>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</si>
  <si>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</si>
  <si>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</si>
  <si>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</si>
  <si>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</si>
  <si>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</si>
  <si>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</si>
  <si>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</si>
  <si>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</si>
  <si>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</si>
  <si>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</si>
  <si>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</si>
  <si>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</si>
  <si>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</si>
  <si>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</si>
  <si>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</si>
  <si>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</si>
  <si>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</si>
  <si>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</si>
  <si>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</si>
  <si>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</si>
  <si>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</si>
  <si>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</si>
  <si>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up</t>
  </si>
  <si>
    <t>None</t>
  </si>
  <si>
    <t>2025-09-11_14h24.23.259</t>
  </si>
  <si>
    <t>signal detection</t>
  </si>
  <si>
    <t>2025.1.1</t>
  </si>
  <si>
    <t>2025-09-11 14h24.40.368232 +0530</t>
  </si>
  <si>
    <t>down</t>
  </si>
  <si>
    <t>hit</t>
  </si>
  <si>
    <t>miss</t>
  </si>
  <si>
    <t xml:space="preserve">fa </t>
  </si>
  <si>
    <t>cr</t>
  </si>
  <si>
    <t>Respond YES</t>
  </si>
  <si>
    <t>Respond NO</t>
  </si>
  <si>
    <t>prop hit= hit/hit+miss</t>
  </si>
  <si>
    <t>Signal Present</t>
  </si>
  <si>
    <t>Hit</t>
  </si>
  <si>
    <t>Miss</t>
  </si>
  <si>
    <t>prop fa= fa/fa+corr rejection</t>
  </si>
  <si>
    <t>Signal absent</t>
  </si>
  <si>
    <t>False alarm</t>
  </si>
  <si>
    <t>Correct Rejection</t>
  </si>
  <si>
    <t>d-prime=z(prop hit)-z(prop fa)</t>
  </si>
  <si>
    <t>c= -z(prop hit) +z(prop fa)/2</t>
  </si>
  <si>
    <t>Signal 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</si>
</sst>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1"/>
  <sheetViews>
    <sheetView topLeftCell="N79" workbookViewId="0">
      <selection activeCell="X90" sqref="X90"/>
    </sheetView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0</v>
      </c>
      <c r="B2">
        <v>0</v>
      </c>
      <c r="C2">
        <v>0</v>
      </c>
      <c r="D2" t="s">
        <v>32</v>
      </c>
      <c r="E2">
        <v>1</v>
      </c>
      <c r="F2">
        <v>0.747515200055204</v>
      </c>
      <c r="G2" t="s">
        <v>33</v>
      </c>
      <c r="H2">
        <v>0</v>
      </c>
      <c r="I2">
        <v>0</v>
      </c>
      <c r="J2">
        <v>0</v>
      </c>
      <c r="K2">
        <v>0</v>
      </c>
      <c r="L2">
        <v>0</v>
      </c>
      <c r="M2">
        <v>3.4989200066775E-2</v>
      </c>
      <c r="O2">
        <v>1.9680900033563299E-2</v>
      </c>
      <c r="P2">
        <v>3.4989200066775E-2</v>
      </c>
      <c r="Q2">
        <v>1.01573620003182</v>
      </c>
      <c r="R2">
        <v>1.05010100000072</v>
      </c>
      <c r="S2">
        <v>1.78510430001188</v>
      </c>
      <c r="T2" t="s">
        <v>32</v>
      </c>
      <c r="U2">
        <v>1</v>
      </c>
      <c r="V2">
        <v>0.747515200055204</v>
      </c>
      <c r="W2" t="s">
        <v>33</v>
      </c>
      <c r="X2">
        <v>0</v>
      </c>
      <c r="Y2">
        <v>532194</v>
      </c>
      <c r="Z2">
        <v>1</v>
      </c>
      <c r="AA2" t="s">
        <v>34</v>
      </c>
      <c r="AB2" t="s">
        <v>35</v>
      </c>
      <c r="AD2" t="s">
        <v>36</v>
      </c>
      <c r="AE2">
        <v>60.257044507597698</v>
      </c>
      <c r="AF2" t="s">
        <v>37</v>
      </c>
    </row>
    <row r="3" spans="1:32" x14ac:dyDescent="0.35">
      <c r="A3">
        <v>1</v>
      </c>
      <c r="B3">
        <v>0</v>
      </c>
      <c r="C3">
        <v>1</v>
      </c>
      <c r="D3" t="s">
        <v>38</v>
      </c>
      <c r="E3">
        <v>0</v>
      </c>
      <c r="F3">
        <v>0.54166500002611395</v>
      </c>
      <c r="G3" t="s">
        <v>33</v>
      </c>
      <c r="H3">
        <v>0</v>
      </c>
      <c r="I3">
        <v>1</v>
      </c>
      <c r="J3">
        <v>0</v>
      </c>
      <c r="K3">
        <v>1</v>
      </c>
      <c r="L3">
        <v>0</v>
      </c>
      <c r="M3">
        <v>1.79924890003167</v>
      </c>
      <c r="O3">
        <v>1.78551339998375</v>
      </c>
      <c r="P3">
        <v>1.79924890003167</v>
      </c>
      <c r="Q3">
        <v>2.7997417000587999</v>
      </c>
      <c r="R3">
        <v>2.7997417000587999</v>
      </c>
      <c r="S3">
        <v>3.3498511000070699</v>
      </c>
      <c r="T3" t="s">
        <v>38</v>
      </c>
      <c r="U3">
        <v>0</v>
      </c>
      <c r="V3">
        <v>0.54166500002611395</v>
      </c>
      <c r="W3" t="s">
        <v>33</v>
      </c>
      <c r="X3">
        <v>0</v>
      </c>
      <c r="Y3">
        <v>532194</v>
      </c>
      <c r="Z3">
        <v>1</v>
      </c>
      <c r="AA3" t="s">
        <v>34</v>
      </c>
      <c r="AB3" t="s">
        <v>35</v>
      </c>
      <c r="AD3" t="s">
        <v>36</v>
      </c>
      <c r="AE3">
        <v>60.257044507597698</v>
      </c>
      <c r="AF3" t="s">
        <v>37</v>
      </c>
    </row>
    <row r="4" spans="1:32" x14ac:dyDescent="0.35">
      <c r="A4">
        <v>2</v>
      </c>
      <c r="B4">
        <v>0</v>
      </c>
      <c r="C4">
        <v>2</v>
      </c>
      <c r="D4" t="s">
        <v>32</v>
      </c>
      <c r="E4">
        <v>1</v>
      </c>
      <c r="F4">
        <v>0.43929320003371602</v>
      </c>
      <c r="G4" t="s">
        <v>33</v>
      </c>
      <c r="H4">
        <v>0</v>
      </c>
      <c r="I4">
        <v>2</v>
      </c>
      <c r="J4">
        <v>0</v>
      </c>
      <c r="K4">
        <v>2</v>
      </c>
      <c r="L4">
        <v>0</v>
      </c>
      <c r="M4">
        <v>3.3672324999934</v>
      </c>
      <c r="O4">
        <v>3.3502623999956902</v>
      </c>
      <c r="P4">
        <v>3.3672324999934</v>
      </c>
      <c r="Q4">
        <v>4.3497236999683002</v>
      </c>
      <c r="R4">
        <v>4.3664181000785902</v>
      </c>
      <c r="S4">
        <v>4.8002333000767896</v>
      </c>
      <c r="T4" t="s">
        <v>32</v>
      </c>
      <c r="U4">
        <v>1</v>
      </c>
      <c r="V4">
        <v>0.43929320003371602</v>
      </c>
      <c r="W4" t="s">
        <v>33</v>
      </c>
      <c r="X4">
        <v>0</v>
      </c>
      <c r="Y4">
        <v>532194</v>
      </c>
      <c r="Z4">
        <v>1</v>
      </c>
      <c r="AA4" t="s">
        <v>34</v>
      </c>
      <c r="AB4" t="s">
        <v>35</v>
      </c>
      <c r="AD4" t="s">
        <v>36</v>
      </c>
      <c r="AE4">
        <v>60.257044507597698</v>
      </c>
      <c r="AF4" t="s">
        <v>37</v>
      </c>
    </row>
    <row r="5" spans="1:32" x14ac:dyDescent="0.35">
      <c r="A5">
        <v>3</v>
      </c>
      <c r="B5">
        <v>0</v>
      </c>
      <c r="C5">
        <v>3</v>
      </c>
      <c r="D5" t="s">
        <v>32</v>
      </c>
      <c r="E5">
        <v>0</v>
      </c>
      <c r="F5">
        <v>0.30290330003481297</v>
      </c>
      <c r="G5" t="s">
        <v>33</v>
      </c>
      <c r="H5">
        <v>4</v>
      </c>
      <c r="I5">
        <v>3</v>
      </c>
      <c r="J5">
        <v>0</v>
      </c>
      <c r="K5">
        <v>3</v>
      </c>
      <c r="L5">
        <v>0</v>
      </c>
      <c r="M5">
        <v>4.8162854000693098</v>
      </c>
      <c r="O5">
        <v>4.8006813999963898</v>
      </c>
      <c r="P5">
        <v>4.8162854000693098</v>
      </c>
      <c r="Q5">
        <v>5.8001064000418401</v>
      </c>
      <c r="R5">
        <v>5.8172889000270498</v>
      </c>
      <c r="S5">
        <v>6.1165196000365496</v>
      </c>
      <c r="T5" t="s">
        <v>32</v>
      </c>
      <c r="U5">
        <v>0</v>
      </c>
      <c r="V5">
        <v>0.30290330003481297</v>
      </c>
      <c r="W5" t="s">
        <v>33</v>
      </c>
      <c r="X5">
        <v>4</v>
      </c>
      <c r="Y5">
        <v>532194</v>
      </c>
      <c r="Z5">
        <v>1</v>
      </c>
      <c r="AA5" t="s">
        <v>34</v>
      </c>
      <c r="AB5" t="s">
        <v>35</v>
      </c>
      <c r="AD5" t="s">
        <v>36</v>
      </c>
      <c r="AE5">
        <v>60.257044507597698</v>
      </c>
      <c r="AF5" t="s">
        <v>37</v>
      </c>
    </row>
    <row r="6" spans="1:32" x14ac:dyDescent="0.35">
      <c r="A6">
        <v>4</v>
      </c>
      <c r="B6">
        <v>0</v>
      </c>
      <c r="C6">
        <v>4</v>
      </c>
      <c r="D6" t="s">
        <v>32</v>
      </c>
      <c r="E6">
        <v>1</v>
      </c>
      <c r="F6">
        <v>0.30044340004678799</v>
      </c>
      <c r="G6" t="s">
        <v>33</v>
      </c>
      <c r="H6">
        <v>0</v>
      </c>
      <c r="I6">
        <v>4</v>
      </c>
      <c r="J6">
        <v>0</v>
      </c>
      <c r="K6">
        <v>4</v>
      </c>
      <c r="L6">
        <v>0</v>
      </c>
      <c r="M6">
        <v>6.1329474999802098</v>
      </c>
      <c r="O6">
        <v>6.1169196000555504</v>
      </c>
      <c r="P6">
        <v>6.1329474999802098</v>
      </c>
      <c r="Q6">
        <v>7.1325899000512401</v>
      </c>
      <c r="R6">
        <v>7.1325899000512401</v>
      </c>
      <c r="S6">
        <v>7.4516976000741098</v>
      </c>
      <c r="T6" t="s">
        <v>32</v>
      </c>
      <c r="U6">
        <v>1</v>
      </c>
      <c r="V6">
        <v>0.30044340004678799</v>
      </c>
      <c r="W6" t="s">
        <v>33</v>
      </c>
      <c r="X6">
        <v>0</v>
      </c>
      <c r="Y6">
        <v>532194</v>
      </c>
      <c r="Z6">
        <v>1</v>
      </c>
      <c r="AA6" t="s">
        <v>34</v>
      </c>
      <c r="AB6" t="s">
        <v>35</v>
      </c>
      <c r="AD6" t="s">
        <v>36</v>
      </c>
      <c r="AE6">
        <v>60.257044507597698</v>
      </c>
      <c r="AF6" t="s">
        <v>37</v>
      </c>
    </row>
    <row r="7" spans="1:32" x14ac:dyDescent="0.35">
      <c r="A7">
        <v>5</v>
      </c>
      <c r="B7">
        <v>0</v>
      </c>
      <c r="C7">
        <v>5</v>
      </c>
      <c r="D7" t="s">
        <v>38</v>
      </c>
      <c r="E7">
        <v>0</v>
      </c>
      <c r="F7">
        <v>0.36466359999030801</v>
      </c>
      <c r="G7" t="s">
        <v>33</v>
      </c>
      <c r="H7">
        <v>0</v>
      </c>
      <c r="I7">
        <v>5</v>
      </c>
      <c r="J7">
        <v>0</v>
      </c>
      <c r="K7">
        <v>5</v>
      </c>
      <c r="L7">
        <v>0</v>
      </c>
      <c r="M7">
        <v>7.4662477000383598</v>
      </c>
      <c r="O7">
        <v>7.4521498000249196</v>
      </c>
      <c r="P7">
        <v>7.4662477000383598</v>
      </c>
      <c r="Q7">
        <v>8.4654430999653396</v>
      </c>
      <c r="R7">
        <v>8.4654430999653396</v>
      </c>
      <c r="S7">
        <v>8.8337161999661404</v>
      </c>
      <c r="T7" t="s">
        <v>38</v>
      </c>
      <c r="U7">
        <v>0</v>
      </c>
      <c r="V7">
        <v>0.36466359999030801</v>
      </c>
      <c r="W7" t="s">
        <v>33</v>
      </c>
      <c r="X7">
        <v>0</v>
      </c>
      <c r="Y7">
        <v>532194</v>
      </c>
      <c r="Z7">
        <v>1</v>
      </c>
      <c r="AA7" t="s">
        <v>34</v>
      </c>
      <c r="AB7" t="s">
        <v>35</v>
      </c>
      <c r="AD7" t="s">
        <v>36</v>
      </c>
      <c r="AE7">
        <v>60.257044507597698</v>
      </c>
      <c r="AF7" t="s">
        <v>37</v>
      </c>
    </row>
    <row r="8" spans="1:32" x14ac:dyDescent="0.35">
      <c r="A8">
        <v>6</v>
      </c>
      <c r="B8">
        <v>0</v>
      </c>
      <c r="C8">
        <v>6</v>
      </c>
      <c r="D8" t="s">
        <v>38</v>
      </c>
      <c r="E8">
        <v>0</v>
      </c>
      <c r="F8">
        <v>0.27173939999192898</v>
      </c>
      <c r="G8" t="s">
        <v>33</v>
      </c>
      <c r="H8">
        <v>0</v>
      </c>
      <c r="I8">
        <v>6</v>
      </c>
      <c r="J8">
        <v>0</v>
      </c>
      <c r="K8">
        <v>6</v>
      </c>
      <c r="L8">
        <v>0</v>
      </c>
      <c r="M8">
        <v>8.8489061000291205</v>
      </c>
      <c r="O8">
        <v>8.8340749000199104</v>
      </c>
      <c r="P8">
        <v>8.8489061000291205</v>
      </c>
      <c r="Q8">
        <v>9.8486712999874708</v>
      </c>
      <c r="R8">
        <v>9.8486712999874708</v>
      </c>
      <c r="S8">
        <v>10.133199500036399</v>
      </c>
      <c r="T8" t="s">
        <v>38</v>
      </c>
      <c r="U8">
        <v>0</v>
      </c>
      <c r="V8">
        <v>0.27173939999192898</v>
      </c>
      <c r="W8" t="s">
        <v>33</v>
      </c>
      <c r="X8">
        <v>0</v>
      </c>
      <c r="Y8">
        <v>532194</v>
      </c>
      <c r="Z8">
        <v>1</v>
      </c>
      <c r="AA8" t="s">
        <v>34</v>
      </c>
      <c r="AB8" t="s">
        <v>35</v>
      </c>
      <c r="AD8" t="s">
        <v>36</v>
      </c>
      <c r="AE8">
        <v>60.257044507597698</v>
      </c>
      <c r="AF8" t="s">
        <v>37</v>
      </c>
    </row>
    <row r="9" spans="1:32" x14ac:dyDescent="0.35">
      <c r="A9">
        <v>7</v>
      </c>
      <c r="B9">
        <v>0</v>
      </c>
      <c r="C9">
        <v>7</v>
      </c>
      <c r="D9" t="s">
        <v>32</v>
      </c>
      <c r="E9">
        <v>0</v>
      </c>
      <c r="F9">
        <v>0.30682189995422898</v>
      </c>
      <c r="G9" t="s">
        <v>33</v>
      </c>
      <c r="H9">
        <v>2</v>
      </c>
      <c r="I9">
        <v>7</v>
      </c>
      <c r="J9">
        <v>0</v>
      </c>
      <c r="K9">
        <v>7</v>
      </c>
      <c r="L9">
        <v>0</v>
      </c>
      <c r="M9">
        <v>10.149617400020301</v>
      </c>
      <c r="O9">
        <v>10.133844600059</v>
      </c>
      <c r="P9">
        <v>10.149617400020301</v>
      </c>
      <c r="Q9">
        <v>11.149316300055901</v>
      </c>
      <c r="R9">
        <v>11.149316300055901</v>
      </c>
      <c r="S9">
        <v>11.4672982000047</v>
      </c>
      <c r="T9" t="s">
        <v>32</v>
      </c>
      <c r="U9">
        <v>0</v>
      </c>
      <c r="V9">
        <v>0.30682189995422898</v>
      </c>
      <c r="W9" t="s">
        <v>33</v>
      </c>
      <c r="X9">
        <v>2</v>
      </c>
      <c r="Y9">
        <v>532194</v>
      </c>
      <c r="Z9">
        <v>1</v>
      </c>
      <c r="AA9" t="s">
        <v>34</v>
      </c>
      <c r="AB9" t="s">
        <v>35</v>
      </c>
      <c r="AD9" t="s">
        <v>36</v>
      </c>
      <c r="AE9">
        <v>60.257044507597698</v>
      </c>
      <c r="AF9" t="s">
        <v>37</v>
      </c>
    </row>
    <row r="10" spans="1:32" x14ac:dyDescent="0.35">
      <c r="A10">
        <v>8</v>
      </c>
      <c r="B10">
        <v>0</v>
      </c>
      <c r="C10">
        <v>8</v>
      </c>
      <c r="D10" t="s">
        <v>32</v>
      </c>
      <c r="E10">
        <v>0</v>
      </c>
      <c r="F10">
        <v>0.36399860004894402</v>
      </c>
      <c r="G10" t="s">
        <v>33</v>
      </c>
      <c r="H10">
        <v>1</v>
      </c>
      <c r="I10">
        <v>8</v>
      </c>
      <c r="J10">
        <v>0</v>
      </c>
      <c r="K10">
        <v>8</v>
      </c>
      <c r="L10">
        <v>0</v>
      </c>
      <c r="M10">
        <v>11.482437200029301</v>
      </c>
      <c r="O10">
        <v>11.467876499984399</v>
      </c>
      <c r="P10">
        <v>11.482437200029301</v>
      </c>
      <c r="Q10">
        <v>12.483112700050601</v>
      </c>
      <c r="R10">
        <v>12.483112700050601</v>
      </c>
      <c r="S10">
        <v>12.85008870007</v>
      </c>
      <c r="T10" t="s">
        <v>32</v>
      </c>
      <c r="U10">
        <v>0</v>
      </c>
      <c r="V10">
        <v>0.36399860004894402</v>
      </c>
      <c r="W10" t="s">
        <v>33</v>
      </c>
      <c r="X10">
        <v>1</v>
      </c>
      <c r="Y10">
        <v>532194</v>
      </c>
      <c r="Z10">
        <v>1</v>
      </c>
      <c r="AA10" t="s">
        <v>34</v>
      </c>
      <c r="AB10" t="s">
        <v>35</v>
      </c>
      <c r="AD10" t="s">
        <v>36</v>
      </c>
      <c r="AE10">
        <v>60.257044507597698</v>
      </c>
      <c r="AF10" t="s">
        <v>37</v>
      </c>
    </row>
    <row r="11" spans="1:32" x14ac:dyDescent="0.35">
      <c r="A11">
        <v>9</v>
      </c>
      <c r="B11">
        <v>0</v>
      </c>
      <c r="C11">
        <v>9</v>
      </c>
      <c r="D11" t="s">
        <v>32</v>
      </c>
      <c r="E11">
        <v>0</v>
      </c>
      <c r="F11">
        <v>0.29854129999876</v>
      </c>
      <c r="G11" t="s">
        <v>33</v>
      </c>
      <c r="H11">
        <v>3</v>
      </c>
      <c r="I11">
        <v>9</v>
      </c>
      <c r="J11">
        <v>0</v>
      </c>
      <c r="K11">
        <v>9</v>
      </c>
      <c r="L11">
        <v>0</v>
      </c>
      <c r="M11">
        <v>12.864834500011</v>
      </c>
      <c r="O11">
        <v>12.8505799999693</v>
      </c>
      <c r="P11">
        <v>12.864834500011</v>
      </c>
      <c r="Q11">
        <v>13.8654015000211</v>
      </c>
      <c r="R11">
        <v>13.8654015000211</v>
      </c>
      <c r="S11">
        <v>14.1658498999895</v>
      </c>
      <c r="T11" t="s">
        <v>32</v>
      </c>
      <c r="U11">
        <v>0</v>
      </c>
      <c r="V11">
        <v>0.29854129999876</v>
      </c>
      <c r="W11" t="s">
        <v>33</v>
      </c>
      <c r="X11">
        <v>3</v>
      </c>
      <c r="Y11">
        <v>532194</v>
      </c>
      <c r="Z11">
        <v>1</v>
      </c>
      <c r="AA11" t="s">
        <v>34</v>
      </c>
      <c r="AB11" t="s">
        <v>35</v>
      </c>
      <c r="AD11" t="s">
        <v>36</v>
      </c>
      <c r="AE11">
        <v>60.257044507597698</v>
      </c>
      <c r="AF11" t="s">
        <v>37</v>
      </c>
    </row>
    <row r="12" spans="1:32" x14ac:dyDescent="0.35">
      <c r="A12">
        <v>10</v>
      </c>
      <c r="B12">
        <v>0</v>
      </c>
      <c r="C12">
        <v>10</v>
      </c>
      <c r="D12" t="s">
        <v>32</v>
      </c>
      <c r="E12">
        <v>1</v>
      </c>
      <c r="F12">
        <v>0.54384550009854105</v>
      </c>
      <c r="G12" t="s">
        <v>33</v>
      </c>
      <c r="H12">
        <v>0</v>
      </c>
      <c r="I12">
        <v>10</v>
      </c>
      <c r="J12">
        <v>0</v>
      </c>
      <c r="K12">
        <v>10</v>
      </c>
      <c r="L12">
        <v>0</v>
      </c>
      <c r="M12">
        <v>14.1817434000549</v>
      </c>
      <c r="O12">
        <v>14.166327400016501</v>
      </c>
      <c r="P12">
        <v>14.1817434000549</v>
      </c>
      <c r="Q12">
        <v>15.182185900048299</v>
      </c>
      <c r="R12">
        <v>15.182185900048299</v>
      </c>
      <c r="S12">
        <v>15.7317134999902</v>
      </c>
      <c r="T12" t="s">
        <v>32</v>
      </c>
      <c r="U12">
        <v>1</v>
      </c>
      <c r="V12">
        <v>0.54384550009854105</v>
      </c>
      <c r="W12" t="s">
        <v>33</v>
      </c>
      <c r="X12">
        <v>0</v>
      </c>
      <c r="Y12">
        <v>532194</v>
      </c>
      <c r="Z12">
        <v>1</v>
      </c>
      <c r="AA12" t="s">
        <v>34</v>
      </c>
      <c r="AB12" t="s">
        <v>35</v>
      </c>
      <c r="AD12" t="s">
        <v>36</v>
      </c>
      <c r="AE12">
        <v>60.257044507597698</v>
      </c>
      <c r="AF12" t="s">
        <v>37</v>
      </c>
    </row>
    <row r="13" spans="1:32" x14ac:dyDescent="0.35">
      <c r="A13">
        <v>11</v>
      </c>
      <c r="B13">
        <v>0</v>
      </c>
      <c r="C13">
        <v>11</v>
      </c>
      <c r="D13" t="s">
        <v>38</v>
      </c>
      <c r="E13">
        <v>0</v>
      </c>
      <c r="F13">
        <v>0.38718880002852502</v>
      </c>
      <c r="G13" t="s">
        <v>33</v>
      </c>
      <c r="H13">
        <v>0</v>
      </c>
      <c r="I13">
        <v>11</v>
      </c>
      <c r="J13">
        <v>0</v>
      </c>
      <c r="K13">
        <v>11</v>
      </c>
      <c r="L13">
        <v>0</v>
      </c>
      <c r="M13">
        <v>15.7482506000669</v>
      </c>
      <c r="O13">
        <v>15.7321729999966</v>
      </c>
      <c r="P13">
        <v>15.7482506000669</v>
      </c>
      <c r="Q13">
        <v>16.7309608000796</v>
      </c>
      <c r="R13">
        <v>16.748135600006201</v>
      </c>
      <c r="S13">
        <v>17.1318021999904</v>
      </c>
      <c r="T13" t="s">
        <v>38</v>
      </c>
      <c r="U13">
        <v>0</v>
      </c>
      <c r="V13">
        <v>0.38718880002852502</v>
      </c>
      <c r="W13" t="s">
        <v>33</v>
      </c>
      <c r="X13">
        <v>0</v>
      </c>
      <c r="Y13">
        <v>532194</v>
      </c>
      <c r="Z13">
        <v>1</v>
      </c>
      <c r="AA13" t="s">
        <v>34</v>
      </c>
      <c r="AB13" t="s">
        <v>35</v>
      </c>
      <c r="AD13" t="s">
        <v>36</v>
      </c>
      <c r="AE13">
        <v>60.257044507597698</v>
      </c>
      <c r="AF13" t="s">
        <v>37</v>
      </c>
    </row>
    <row r="14" spans="1:32" x14ac:dyDescent="0.35">
      <c r="A14">
        <v>12</v>
      </c>
      <c r="B14">
        <v>0</v>
      </c>
      <c r="C14">
        <v>12</v>
      </c>
      <c r="D14" t="s">
        <v>32</v>
      </c>
      <c r="E14">
        <v>0</v>
      </c>
      <c r="F14">
        <v>0.19006850000005199</v>
      </c>
      <c r="G14" t="s">
        <v>33</v>
      </c>
      <c r="H14">
        <v>-2</v>
      </c>
      <c r="I14">
        <v>12</v>
      </c>
      <c r="J14">
        <v>0</v>
      </c>
      <c r="K14">
        <v>12</v>
      </c>
      <c r="L14">
        <v>0</v>
      </c>
      <c r="M14">
        <v>17.147488699993101</v>
      </c>
      <c r="O14">
        <v>17.132259499980101</v>
      </c>
      <c r="P14">
        <v>17.147488699993101</v>
      </c>
      <c r="Q14">
        <v>18.1308710000012</v>
      </c>
      <c r="R14">
        <v>18.147981600021001</v>
      </c>
      <c r="S14">
        <v>18.331304499995799</v>
      </c>
      <c r="T14" t="s">
        <v>32</v>
      </c>
      <c r="U14">
        <v>0</v>
      </c>
      <c r="V14">
        <v>0.19006850000005199</v>
      </c>
      <c r="W14" t="s">
        <v>33</v>
      </c>
      <c r="X14">
        <v>-2</v>
      </c>
      <c r="Y14">
        <v>532194</v>
      </c>
      <c r="Z14">
        <v>1</v>
      </c>
      <c r="AA14" t="s">
        <v>34</v>
      </c>
      <c r="AB14" t="s">
        <v>35</v>
      </c>
      <c r="AD14" t="s">
        <v>36</v>
      </c>
      <c r="AE14">
        <v>60.257044507597698</v>
      </c>
      <c r="AF14" t="s">
        <v>37</v>
      </c>
    </row>
    <row r="15" spans="1:32" x14ac:dyDescent="0.35">
      <c r="A15">
        <v>13</v>
      </c>
      <c r="B15">
        <v>0</v>
      </c>
      <c r="C15">
        <v>13</v>
      </c>
      <c r="D15" t="s">
        <v>32</v>
      </c>
      <c r="E15">
        <v>1</v>
      </c>
      <c r="F15">
        <v>0.211900900001637</v>
      </c>
      <c r="G15" t="s">
        <v>33</v>
      </c>
      <c r="H15">
        <v>0</v>
      </c>
      <c r="I15">
        <v>13</v>
      </c>
      <c r="J15">
        <v>0</v>
      </c>
      <c r="K15">
        <v>13</v>
      </c>
      <c r="L15">
        <v>0</v>
      </c>
      <c r="M15">
        <v>18.347238500020399</v>
      </c>
      <c r="O15">
        <v>18.3317367000272</v>
      </c>
      <c r="P15">
        <v>18.347238500020399</v>
      </c>
      <c r="Q15">
        <v>19.330692799994701</v>
      </c>
      <c r="R15">
        <v>19.347216199967001</v>
      </c>
      <c r="S15">
        <v>19.547282100073001</v>
      </c>
      <c r="T15" t="s">
        <v>32</v>
      </c>
      <c r="U15">
        <v>1</v>
      </c>
      <c r="V15">
        <v>0.211900900001637</v>
      </c>
      <c r="W15" t="s">
        <v>33</v>
      </c>
      <c r="X15">
        <v>0</v>
      </c>
      <c r="Y15">
        <v>532194</v>
      </c>
      <c r="Z15">
        <v>1</v>
      </c>
      <c r="AA15" t="s">
        <v>34</v>
      </c>
      <c r="AB15" t="s">
        <v>35</v>
      </c>
      <c r="AD15" t="s">
        <v>36</v>
      </c>
      <c r="AE15">
        <v>60.257044507597698</v>
      </c>
      <c r="AF15" t="s">
        <v>37</v>
      </c>
    </row>
    <row r="16" spans="1:32" x14ac:dyDescent="0.35">
      <c r="A16">
        <v>14</v>
      </c>
      <c r="B16">
        <v>0</v>
      </c>
      <c r="C16">
        <v>14</v>
      </c>
      <c r="D16" t="s">
        <v>38</v>
      </c>
      <c r="E16">
        <v>0</v>
      </c>
      <c r="F16">
        <v>0.12538550002500401</v>
      </c>
      <c r="G16" t="s">
        <v>33</v>
      </c>
      <c r="H16">
        <v>0</v>
      </c>
      <c r="I16">
        <v>14</v>
      </c>
      <c r="J16">
        <v>0</v>
      </c>
      <c r="K16">
        <v>14</v>
      </c>
      <c r="L16">
        <v>0</v>
      </c>
      <c r="M16">
        <v>19.564085499965501</v>
      </c>
      <c r="O16">
        <v>19.547728999983502</v>
      </c>
      <c r="P16">
        <v>19.564085499965501</v>
      </c>
      <c r="Q16">
        <v>20.5480611000675</v>
      </c>
      <c r="R16">
        <v>20.565511599997901</v>
      </c>
      <c r="S16">
        <v>20.680896100005999</v>
      </c>
      <c r="T16" t="s">
        <v>38</v>
      </c>
      <c r="U16">
        <v>0</v>
      </c>
      <c r="V16">
        <v>0.12538550002500401</v>
      </c>
      <c r="W16" t="s">
        <v>33</v>
      </c>
      <c r="X16">
        <v>0</v>
      </c>
      <c r="Y16">
        <v>532194</v>
      </c>
      <c r="Z16">
        <v>1</v>
      </c>
      <c r="AA16" t="s">
        <v>34</v>
      </c>
      <c r="AB16" t="s">
        <v>35</v>
      </c>
      <c r="AD16" t="s">
        <v>36</v>
      </c>
      <c r="AE16">
        <v>60.257044507597698</v>
      </c>
      <c r="AF16" t="s">
        <v>37</v>
      </c>
    </row>
    <row r="17" spans="1:32" x14ac:dyDescent="0.35">
      <c r="A17">
        <v>15</v>
      </c>
      <c r="B17">
        <v>0</v>
      </c>
      <c r="C17">
        <v>15</v>
      </c>
      <c r="D17" t="s">
        <v>32</v>
      </c>
      <c r="E17">
        <v>0</v>
      </c>
      <c r="F17">
        <v>0.20659539999905899</v>
      </c>
      <c r="G17" t="s">
        <v>33</v>
      </c>
      <c r="H17">
        <v>-3</v>
      </c>
      <c r="I17">
        <v>15</v>
      </c>
      <c r="J17">
        <v>0</v>
      </c>
      <c r="K17">
        <v>15</v>
      </c>
      <c r="L17">
        <v>0</v>
      </c>
      <c r="M17">
        <v>20.697005499969201</v>
      </c>
      <c r="O17">
        <v>20.68134000001</v>
      </c>
      <c r="P17">
        <v>20.697005499969201</v>
      </c>
      <c r="Q17">
        <v>21.6802847000071</v>
      </c>
      <c r="R17">
        <v>21.696509300032599</v>
      </c>
      <c r="S17">
        <v>21.8979121000738</v>
      </c>
      <c r="T17" t="s">
        <v>32</v>
      </c>
      <c r="U17">
        <v>0</v>
      </c>
      <c r="V17">
        <v>0.20659539999905899</v>
      </c>
      <c r="W17" t="s">
        <v>33</v>
      </c>
      <c r="X17">
        <v>-3</v>
      </c>
      <c r="Y17">
        <v>532194</v>
      </c>
      <c r="Z17">
        <v>1</v>
      </c>
      <c r="AA17" t="s">
        <v>34</v>
      </c>
      <c r="AB17" t="s">
        <v>35</v>
      </c>
      <c r="AD17" t="s">
        <v>36</v>
      </c>
      <c r="AE17">
        <v>60.257044507597698</v>
      </c>
      <c r="AF17" t="s">
        <v>37</v>
      </c>
    </row>
    <row r="18" spans="1:32" x14ac:dyDescent="0.35">
      <c r="A18">
        <v>16</v>
      </c>
      <c r="B18">
        <v>0</v>
      </c>
      <c r="C18">
        <v>16</v>
      </c>
      <c r="D18" t="s">
        <v>32</v>
      </c>
      <c r="E18">
        <v>0</v>
      </c>
      <c r="F18">
        <v>0.24430349993053799</v>
      </c>
      <c r="G18" t="s">
        <v>33</v>
      </c>
      <c r="H18">
        <v>-3</v>
      </c>
      <c r="I18">
        <v>16</v>
      </c>
      <c r="J18">
        <v>0</v>
      </c>
      <c r="K18">
        <v>16</v>
      </c>
      <c r="L18">
        <v>0</v>
      </c>
      <c r="M18">
        <v>21.913526899996199</v>
      </c>
      <c r="O18">
        <v>21.898369800066501</v>
      </c>
      <c r="P18">
        <v>21.913526899996199</v>
      </c>
      <c r="Q18">
        <v>22.896673600072901</v>
      </c>
      <c r="R18">
        <v>22.913656600052398</v>
      </c>
      <c r="S18">
        <v>23.1467387999873</v>
      </c>
      <c r="T18" t="s">
        <v>32</v>
      </c>
      <c r="U18">
        <v>0</v>
      </c>
      <c r="V18">
        <v>0.24430349993053799</v>
      </c>
      <c r="W18" t="s">
        <v>33</v>
      </c>
      <c r="X18">
        <v>-3</v>
      </c>
      <c r="Y18">
        <v>532194</v>
      </c>
      <c r="Z18">
        <v>1</v>
      </c>
      <c r="AA18" t="s">
        <v>34</v>
      </c>
      <c r="AB18" t="s">
        <v>35</v>
      </c>
      <c r="AD18" t="s">
        <v>36</v>
      </c>
      <c r="AE18">
        <v>60.257044507597698</v>
      </c>
      <c r="AF18" t="s">
        <v>37</v>
      </c>
    </row>
    <row r="19" spans="1:32" x14ac:dyDescent="0.35">
      <c r="A19">
        <v>17</v>
      </c>
      <c r="B19">
        <v>0</v>
      </c>
      <c r="C19">
        <v>17</v>
      </c>
      <c r="D19" t="s">
        <v>32</v>
      </c>
      <c r="E19">
        <v>0</v>
      </c>
      <c r="F19">
        <v>0.29669409990310602</v>
      </c>
      <c r="G19" t="s">
        <v>33</v>
      </c>
      <c r="H19">
        <v>-3</v>
      </c>
      <c r="I19">
        <v>17</v>
      </c>
      <c r="J19">
        <v>0</v>
      </c>
      <c r="K19">
        <v>17</v>
      </c>
      <c r="L19">
        <v>0</v>
      </c>
      <c r="M19">
        <v>23.1628914000466</v>
      </c>
      <c r="O19">
        <v>23.147204200038601</v>
      </c>
      <c r="P19">
        <v>23.1628914000466</v>
      </c>
      <c r="Q19">
        <v>24.146285800030402</v>
      </c>
      <c r="R19">
        <v>24.1640418000752</v>
      </c>
      <c r="S19">
        <v>24.446884999982998</v>
      </c>
      <c r="T19" t="s">
        <v>32</v>
      </c>
      <c r="U19">
        <v>0</v>
      </c>
      <c r="V19">
        <v>0.29669409990310602</v>
      </c>
      <c r="W19" t="s">
        <v>33</v>
      </c>
      <c r="X19">
        <v>-3</v>
      </c>
      <c r="Y19">
        <v>532194</v>
      </c>
      <c r="Z19">
        <v>1</v>
      </c>
      <c r="AA19" t="s">
        <v>34</v>
      </c>
      <c r="AB19" t="s">
        <v>35</v>
      </c>
      <c r="AD19" t="s">
        <v>36</v>
      </c>
      <c r="AE19">
        <v>60.257044507597698</v>
      </c>
      <c r="AF19" t="s">
        <v>37</v>
      </c>
    </row>
    <row r="20" spans="1:32" x14ac:dyDescent="0.35">
      <c r="A20">
        <v>18</v>
      </c>
      <c r="B20">
        <v>0</v>
      </c>
      <c r="C20">
        <v>18</v>
      </c>
      <c r="D20" t="s">
        <v>38</v>
      </c>
      <c r="E20">
        <v>1</v>
      </c>
      <c r="F20">
        <v>0.55382959998678405</v>
      </c>
      <c r="G20" t="s">
        <v>33</v>
      </c>
      <c r="H20">
        <v>1</v>
      </c>
      <c r="I20">
        <v>18</v>
      </c>
      <c r="J20">
        <v>0</v>
      </c>
      <c r="K20">
        <v>18</v>
      </c>
      <c r="L20">
        <v>0</v>
      </c>
      <c r="M20">
        <v>24.463349499972502</v>
      </c>
      <c r="O20">
        <v>24.447349200025201</v>
      </c>
      <c r="P20">
        <v>24.463349499972502</v>
      </c>
      <c r="Q20">
        <v>25.463982000015601</v>
      </c>
      <c r="R20">
        <v>25.463982000015601</v>
      </c>
      <c r="S20">
        <v>26.029850800056</v>
      </c>
      <c r="T20" t="s">
        <v>38</v>
      </c>
      <c r="U20">
        <v>1</v>
      </c>
      <c r="V20">
        <v>0.55382959998678405</v>
      </c>
      <c r="W20" t="s">
        <v>33</v>
      </c>
      <c r="X20">
        <v>1</v>
      </c>
      <c r="Y20">
        <v>532194</v>
      </c>
      <c r="Z20">
        <v>1</v>
      </c>
      <c r="AA20" t="s">
        <v>34</v>
      </c>
      <c r="AB20" t="s">
        <v>35</v>
      </c>
      <c r="AD20" t="s">
        <v>36</v>
      </c>
      <c r="AE20">
        <v>60.257044507597698</v>
      </c>
      <c r="AF20" t="s">
        <v>37</v>
      </c>
    </row>
    <row r="21" spans="1:32" x14ac:dyDescent="0.35">
      <c r="A21">
        <v>19</v>
      </c>
      <c r="B21">
        <v>0</v>
      </c>
      <c r="C21">
        <v>19</v>
      </c>
      <c r="D21" t="s">
        <v>32</v>
      </c>
      <c r="E21">
        <v>0</v>
      </c>
      <c r="F21">
        <v>0.730709200026467</v>
      </c>
      <c r="G21" t="s">
        <v>33</v>
      </c>
      <c r="H21">
        <v>-3</v>
      </c>
      <c r="I21">
        <v>19</v>
      </c>
      <c r="J21">
        <v>0</v>
      </c>
      <c r="K21">
        <v>19</v>
      </c>
      <c r="L21">
        <v>0</v>
      </c>
      <c r="M21">
        <v>26.046708000008898</v>
      </c>
      <c r="O21">
        <v>26.030326600070101</v>
      </c>
      <c r="P21">
        <v>26.046708000008898</v>
      </c>
      <c r="Q21">
        <v>27.029947099974301</v>
      </c>
      <c r="R21">
        <v>27.0465811999747</v>
      </c>
      <c r="S21">
        <v>27.763833499979199</v>
      </c>
      <c r="T21" t="s">
        <v>32</v>
      </c>
      <c r="U21">
        <v>0</v>
      </c>
      <c r="V21">
        <v>0.730709200026467</v>
      </c>
      <c r="W21" t="s">
        <v>33</v>
      </c>
      <c r="X21">
        <v>-3</v>
      </c>
      <c r="Y21">
        <v>532194</v>
      </c>
      <c r="Z21">
        <v>1</v>
      </c>
      <c r="AA21" t="s">
        <v>34</v>
      </c>
      <c r="AB21" t="s">
        <v>35</v>
      </c>
      <c r="AD21" t="s">
        <v>36</v>
      </c>
      <c r="AE21">
        <v>60.257044507597698</v>
      </c>
      <c r="AF21" t="s">
        <v>37</v>
      </c>
    </row>
    <row r="22" spans="1:32" x14ac:dyDescent="0.35">
      <c r="A22">
        <v>20</v>
      </c>
      <c r="B22">
        <v>0</v>
      </c>
      <c r="C22">
        <v>20</v>
      </c>
      <c r="D22" t="s">
        <v>38</v>
      </c>
      <c r="E22">
        <v>0</v>
      </c>
      <c r="F22">
        <v>0.581075099995359</v>
      </c>
      <c r="G22" t="s">
        <v>33</v>
      </c>
      <c r="H22">
        <v>0</v>
      </c>
      <c r="I22">
        <v>20</v>
      </c>
      <c r="J22">
        <v>0</v>
      </c>
      <c r="K22">
        <v>20</v>
      </c>
      <c r="L22">
        <v>0</v>
      </c>
      <c r="M22">
        <v>27.779166699969199</v>
      </c>
      <c r="O22">
        <v>27.764266800018898</v>
      </c>
      <c r="P22">
        <v>27.779166699969199</v>
      </c>
      <c r="Q22">
        <v>28.779046399984502</v>
      </c>
      <c r="R22">
        <v>28.779046399984502</v>
      </c>
      <c r="S22">
        <v>29.363217800040701</v>
      </c>
      <c r="T22" t="s">
        <v>38</v>
      </c>
      <c r="U22">
        <v>0</v>
      </c>
      <c r="V22">
        <v>0.581075099995359</v>
      </c>
      <c r="W22" t="s">
        <v>33</v>
      </c>
      <c r="X22">
        <v>0</v>
      </c>
      <c r="Y22">
        <v>532194</v>
      </c>
      <c r="Z22">
        <v>1</v>
      </c>
      <c r="AA22" t="s">
        <v>34</v>
      </c>
      <c r="AB22" t="s">
        <v>35</v>
      </c>
      <c r="AD22" t="s">
        <v>36</v>
      </c>
      <c r="AE22">
        <v>60.257044507597698</v>
      </c>
      <c r="AF22" t="s">
        <v>37</v>
      </c>
    </row>
    <row r="23" spans="1:32" x14ac:dyDescent="0.35">
      <c r="A23">
        <v>21</v>
      </c>
      <c r="B23">
        <v>0</v>
      </c>
      <c r="C23">
        <v>21</v>
      </c>
      <c r="D23" t="s">
        <v>32</v>
      </c>
      <c r="E23">
        <v>0</v>
      </c>
      <c r="F23">
        <v>2.4278196999803101</v>
      </c>
      <c r="G23" t="s">
        <v>33</v>
      </c>
      <c r="H23">
        <v>-3</v>
      </c>
      <c r="I23">
        <v>21</v>
      </c>
      <c r="J23">
        <v>0</v>
      </c>
      <c r="K23">
        <v>21</v>
      </c>
      <c r="L23">
        <v>0</v>
      </c>
      <c r="M23">
        <v>29.379338899976499</v>
      </c>
      <c r="O23">
        <v>29.363690300029699</v>
      </c>
      <c r="P23">
        <v>29.379338899976499</v>
      </c>
      <c r="Q23">
        <v>30.362179200048502</v>
      </c>
      <c r="R23">
        <v>30.381530200014801</v>
      </c>
      <c r="S23">
        <v>32.795424100011502</v>
      </c>
      <c r="T23" t="s">
        <v>32</v>
      </c>
      <c r="U23">
        <v>0</v>
      </c>
      <c r="V23">
        <v>2.4278196999803101</v>
      </c>
      <c r="W23" t="s">
        <v>33</v>
      </c>
      <c r="X23">
        <v>-3</v>
      </c>
      <c r="Y23">
        <v>532194</v>
      </c>
      <c r="Z23">
        <v>1</v>
      </c>
      <c r="AA23" t="s">
        <v>34</v>
      </c>
      <c r="AB23" t="s">
        <v>35</v>
      </c>
      <c r="AD23" t="s">
        <v>36</v>
      </c>
      <c r="AE23">
        <v>60.257044507597698</v>
      </c>
      <c r="AF23" t="s">
        <v>37</v>
      </c>
    </row>
    <row r="24" spans="1:32" x14ac:dyDescent="0.35">
      <c r="A24">
        <v>22</v>
      </c>
      <c r="B24">
        <v>0</v>
      </c>
      <c r="C24">
        <v>22</v>
      </c>
      <c r="D24" t="s">
        <v>32</v>
      </c>
      <c r="E24">
        <v>1</v>
      </c>
      <c r="F24">
        <v>0.82117270003072895</v>
      </c>
      <c r="G24" t="s">
        <v>33</v>
      </c>
      <c r="H24">
        <v>0</v>
      </c>
      <c r="I24">
        <v>22</v>
      </c>
      <c r="J24">
        <v>0</v>
      </c>
      <c r="K24">
        <v>22</v>
      </c>
      <c r="L24">
        <v>0</v>
      </c>
      <c r="M24">
        <v>32.811770100030103</v>
      </c>
      <c r="O24">
        <v>32.795839800033697</v>
      </c>
      <c r="P24">
        <v>32.811770100030103</v>
      </c>
      <c r="Q24">
        <v>33.795316400006399</v>
      </c>
      <c r="R24">
        <v>33.811763499979797</v>
      </c>
      <c r="S24">
        <v>34.6294017999898</v>
      </c>
      <c r="T24" t="s">
        <v>32</v>
      </c>
      <c r="U24">
        <v>1</v>
      </c>
      <c r="V24">
        <v>0.82117270003072895</v>
      </c>
      <c r="W24" t="s">
        <v>33</v>
      </c>
      <c r="X24">
        <v>0</v>
      </c>
      <c r="Y24">
        <v>532194</v>
      </c>
      <c r="Z24">
        <v>1</v>
      </c>
      <c r="AA24" t="s">
        <v>34</v>
      </c>
      <c r="AB24" t="s">
        <v>35</v>
      </c>
      <c r="AD24" t="s">
        <v>36</v>
      </c>
      <c r="AE24">
        <v>60.257044507597698</v>
      </c>
      <c r="AF24" t="s">
        <v>37</v>
      </c>
    </row>
    <row r="25" spans="1:32" x14ac:dyDescent="0.35">
      <c r="A25">
        <v>23</v>
      </c>
      <c r="B25">
        <v>0</v>
      </c>
      <c r="C25">
        <v>23</v>
      </c>
      <c r="D25" t="s">
        <v>32</v>
      </c>
      <c r="E25">
        <v>0</v>
      </c>
      <c r="F25">
        <v>0.73840829997789104</v>
      </c>
      <c r="G25" t="s">
        <v>33</v>
      </c>
      <c r="H25">
        <v>3</v>
      </c>
      <c r="I25">
        <v>23</v>
      </c>
      <c r="J25">
        <v>0</v>
      </c>
      <c r="K25">
        <v>23</v>
      </c>
      <c r="L25">
        <v>0</v>
      </c>
      <c r="M25">
        <v>34.648116600001202</v>
      </c>
      <c r="O25">
        <v>34.630055899964603</v>
      </c>
      <c r="P25">
        <v>34.648116600001202</v>
      </c>
      <c r="Q25">
        <v>35.628500299993902</v>
      </c>
      <c r="R25">
        <v>35.660584400058703</v>
      </c>
      <c r="S25">
        <v>36.379494399996403</v>
      </c>
      <c r="T25" t="s">
        <v>32</v>
      </c>
      <c r="U25">
        <v>0</v>
      </c>
      <c r="V25">
        <v>0.73840829997789104</v>
      </c>
      <c r="W25" t="s">
        <v>33</v>
      </c>
      <c r="X25">
        <v>3</v>
      </c>
      <c r="Y25">
        <v>532194</v>
      </c>
      <c r="Z25">
        <v>1</v>
      </c>
      <c r="AA25" t="s">
        <v>34</v>
      </c>
      <c r="AB25" t="s">
        <v>35</v>
      </c>
      <c r="AD25" t="s">
        <v>36</v>
      </c>
      <c r="AE25">
        <v>60.257044507597698</v>
      </c>
      <c r="AF25" t="s">
        <v>37</v>
      </c>
    </row>
    <row r="26" spans="1:32" x14ac:dyDescent="0.35">
      <c r="A26">
        <v>24</v>
      </c>
      <c r="B26">
        <v>0</v>
      </c>
      <c r="C26">
        <v>24</v>
      </c>
      <c r="D26" t="s">
        <v>38</v>
      </c>
      <c r="E26">
        <v>0</v>
      </c>
      <c r="F26">
        <v>0.40872119995765299</v>
      </c>
      <c r="G26" t="s">
        <v>33</v>
      </c>
      <c r="H26">
        <v>0</v>
      </c>
      <c r="I26">
        <v>24</v>
      </c>
      <c r="J26">
        <v>0</v>
      </c>
      <c r="K26">
        <v>24</v>
      </c>
      <c r="L26">
        <v>0</v>
      </c>
      <c r="M26">
        <v>36.395497200079198</v>
      </c>
      <c r="O26">
        <v>36.380030400003299</v>
      </c>
      <c r="P26">
        <v>36.395497200079198</v>
      </c>
      <c r="Q26">
        <v>37.3943764000432</v>
      </c>
      <c r="R26">
        <v>37.3943764000432</v>
      </c>
      <c r="S26">
        <v>37.811224600067298</v>
      </c>
      <c r="T26" t="s">
        <v>38</v>
      </c>
      <c r="U26">
        <v>0</v>
      </c>
      <c r="V26">
        <v>0.40872119995765299</v>
      </c>
      <c r="W26" t="s">
        <v>33</v>
      </c>
      <c r="X26">
        <v>0</v>
      </c>
      <c r="Y26">
        <v>532194</v>
      </c>
      <c r="Z26">
        <v>1</v>
      </c>
      <c r="AA26" t="s">
        <v>34</v>
      </c>
      <c r="AB26" t="s">
        <v>35</v>
      </c>
      <c r="AD26" t="s">
        <v>36</v>
      </c>
      <c r="AE26">
        <v>60.257044507597698</v>
      </c>
      <c r="AF26" t="s">
        <v>37</v>
      </c>
    </row>
    <row r="27" spans="1:32" x14ac:dyDescent="0.35">
      <c r="A27">
        <v>25</v>
      </c>
      <c r="B27">
        <v>0</v>
      </c>
      <c r="C27">
        <v>25</v>
      </c>
      <c r="D27" t="s">
        <v>38</v>
      </c>
      <c r="E27">
        <v>1</v>
      </c>
      <c r="F27">
        <v>0.71935119992121999</v>
      </c>
      <c r="G27" t="s">
        <v>33</v>
      </c>
      <c r="H27">
        <v>-2</v>
      </c>
      <c r="I27">
        <v>25</v>
      </c>
      <c r="J27">
        <v>0</v>
      </c>
      <c r="K27">
        <v>25</v>
      </c>
      <c r="L27">
        <v>0</v>
      </c>
      <c r="M27">
        <v>37.8275163000216</v>
      </c>
      <c r="O27">
        <v>37.811655899975399</v>
      </c>
      <c r="P27">
        <v>37.8275163000216</v>
      </c>
      <c r="Q27">
        <v>38.811519099981503</v>
      </c>
      <c r="R27">
        <v>38.827515100012498</v>
      </c>
      <c r="S27">
        <v>39.546082800021303</v>
      </c>
      <c r="T27" t="s">
        <v>38</v>
      </c>
      <c r="U27">
        <v>1</v>
      </c>
      <c r="V27">
        <v>0.71935119992121999</v>
      </c>
      <c r="W27" t="s">
        <v>33</v>
      </c>
      <c r="X27">
        <v>-2</v>
      </c>
      <c r="Y27">
        <v>532194</v>
      </c>
      <c r="Z27">
        <v>1</v>
      </c>
      <c r="AA27" t="s">
        <v>34</v>
      </c>
      <c r="AB27" t="s">
        <v>35</v>
      </c>
      <c r="AD27" t="s">
        <v>36</v>
      </c>
      <c r="AE27">
        <v>60.257044507597698</v>
      </c>
      <c r="AF27" t="s">
        <v>37</v>
      </c>
    </row>
    <row r="28" spans="1:32" x14ac:dyDescent="0.35">
      <c r="A28">
        <v>26</v>
      </c>
      <c r="B28">
        <v>0</v>
      </c>
      <c r="C28">
        <v>26</v>
      </c>
      <c r="D28" t="s">
        <v>32</v>
      </c>
      <c r="E28">
        <v>1</v>
      </c>
      <c r="F28">
        <v>0.547763000009581</v>
      </c>
      <c r="G28" t="s">
        <v>33</v>
      </c>
      <c r="H28">
        <v>0</v>
      </c>
      <c r="I28">
        <v>26</v>
      </c>
      <c r="J28">
        <v>0</v>
      </c>
      <c r="K28">
        <v>26</v>
      </c>
      <c r="L28">
        <v>0</v>
      </c>
      <c r="M28">
        <v>39.563146100030202</v>
      </c>
      <c r="O28">
        <v>39.546696000033897</v>
      </c>
      <c r="P28">
        <v>39.563146100030202</v>
      </c>
      <c r="Q28">
        <v>40.561811099993001</v>
      </c>
      <c r="R28">
        <v>40.577149300021098</v>
      </c>
      <c r="S28">
        <v>41.111240500002097</v>
      </c>
      <c r="T28" t="s">
        <v>32</v>
      </c>
      <c r="U28">
        <v>1</v>
      </c>
      <c r="V28">
        <v>0.547763000009581</v>
      </c>
      <c r="W28" t="s">
        <v>33</v>
      </c>
      <c r="X28">
        <v>0</v>
      </c>
      <c r="Y28">
        <v>532194</v>
      </c>
      <c r="Z28">
        <v>1</v>
      </c>
      <c r="AA28" t="s">
        <v>34</v>
      </c>
      <c r="AB28" t="s">
        <v>35</v>
      </c>
      <c r="AD28" t="s">
        <v>36</v>
      </c>
      <c r="AE28">
        <v>60.257044507597698</v>
      </c>
      <c r="AF28" t="s">
        <v>37</v>
      </c>
    </row>
    <row r="29" spans="1:32" x14ac:dyDescent="0.35">
      <c r="A29">
        <v>27</v>
      </c>
      <c r="B29">
        <v>0</v>
      </c>
      <c r="C29">
        <v>27</v>
      </c>
      <c r="D29" t="s">
        <v>32</v>
      </c>
      <c r="E29">
        <v>1</v>
      </c>
      <c r="F29">
        <v>0.50117689999751702</v>
      </c>
      <c r="G29" t="s">
        <v>33</v>
      </c>
      <c r="H29">
        <v>0</v>
      </c>
      <c r="I29">
        <v>27</v>
      </c>
      <c r="J29">
        <v>0</v>
      </c>
      <c r="K29">
        <v>27</v>
      </c>
      <c r="L29">
        <v>0</v>
      </c>
      <c r="M29">
        <v>41.1275818999856</v>
      </c>
      <c r="O29">
        <v>41.1116454000584</v>
      </c>
      <c r="P29">
        <v>41.1275818999856</v>
      </c>
      <c r="Q29">
        <v>42.1119441000046</v>
      </c>
      <c r="R29">
        <v>42.1437580999918</v>
      </c>
      <c r="S29">
        <v>42.6277667999966</v>
      </c>
      <c r="T29" t="s">
        <v>32</v>
      </c>
      <c r="U29">
        <v>1</v>
      </c>
      <c r="V29">
        <v>0.50117689999751702</v>
      </c>
      <c r="W29" t="s">
        <v>33</v>
      </c>
      <c r="X29">
        <v>0</v>
      </c>
      <c r="Y29">
        <v>532194</v>
      </c>
      <c r="Z29">
        <v>1</v>
      </c>
      <c r="AA29" t="s">
        <v>34</v>
      </c>
      <c r="AB29" t="s">
        <v>35</v>
      </c>
      <c r="AD29" t="s">
        <v>36</v>
      </c>
      <c r="AE29">
        <v>60.257044507597698</v>
      </c>
      <c r="AF29" t="s">
        <v>37</v>
      </c>
    </row>
    <row r="30" spans="1:32" x14ac:dyDescent="0.35">
      <c r="A30">
        <v>28</v>
      </c>
      <c r="B30">
        <v>0</v>
      </c>
      <c r="C30">
        <v>28</v>
      </c>
      <c r="D30" t="s">
        <v>32</v>
      </c>
      <c r="E30">
        <v>1</v>
      </c>
      <c r="F30">
        <v>0.460268800030462</v>
      </c>
      <c r="G30" t="s">
        <v>33</v>
      </c>
      <c r="H30">
        <v>0</v>
      </c>
      <c r="I30">
        <v>28</v>
      </c>
      <c r="J30">
        <v>0</v>
      </c>
      <c r="K30">
        <v>28</v>
      </c>
      <c r="L30">
        <v>0</v>
      </c>
      <c r="M30">
        <v>42.6431848000502</v>
      </c>
      <c r="O30">
        <v>42.628181200008797</v>
      </c>
      <c r="P30">
        <v>42.6431848000502</v>
      </c>
      <c r="Q30">
        <v>43.643059100024402</v>
      </c>
      <c r="R30">
        <v>43.661299300030798</v>
      </c>
      <c r="S30">
        <v>44.111900800024102</v>
      </c>
      <c r="T30" t="s">
        <v>32</v>
      </c>
      <c r="U30">
        <v>1</v>
      </c>
      <c r="V30">
        <v>0.460268800030462</v>
      </c>
      <c r="W30" t="s">
        <v>33</v>
      </c>
      <c r="X30">
        <v>0</v>
      </c>
      <c r="Y30">
        <v>532194</v>
      </c>
      <c r="Z30">
        <v>1</v>
      </c>
      <c r="AA30" t="s">
        <v>34</v>
      </c>
      <c r="AB30" t="s">
        <v>35</v>
      </c>
      <c r="AD30" t="s">
        <v>36</v>
      </c>
      <c r="AE30">
        <v>60.257044507597698</v>
      </c>
      <c r="AF30" t="s">
        <v>37</v>
      </c>
    </row>
    <row r="31" spans="1:32" x14ac:dyDescent="0.35">
      <c r="A31">
        <v>29</v>
      </c>
      <c r="B31">
        <v>0</v>
      </c>
      <c r="C31">
        <v>29</v>
      </c>
      <c r="D31" t="s">
        <v>38</v>
      </c>
      <c r="E31">
        <v>1</v>
      </c>
      <c r="F31">
        <v>0.65368160000070896</v>
      </c>
      <c r="G31" t="s">
        <v>33</v>
      </c>
      <c r="H31">
        <v>1</v>
      </c>
      <c r="I31">
        <v>29</v>
      </c>
      <c r="J31">
        <v>0</v>
      </c>
      <c r="K31">
        <v>29</v>
      </c>
      <c r="L31">
        <v>0</v>
      </c>
      <c r="M31">
        <v>44.127357100020099</v>
      </c>
      <c r="O31">
        <v>44.112502200063297</v>
      </c>
      <c r="P31">
        <v>44.127357100020099</v>
      </c>
      <c r="Q31">
        <v>45.126902800053301</v>
      </c>
      <c r="R31">
        <v>45.126902800053301</v>
      </c>
      <c r="S31">
        <v>45.793338500079699</v>
      </c>
      <c r="T31" t="s">
        <v>38</v>
      </c>
      <c r="U31">
        <v>1</v>
      </c>
      <c r="V31">
        <v>0.65368160000070896</v>
      </c>
      <c r="W31" t="s">
        <v>33</v>
      </c>
      <c r="X31">
        <v>1</v>
      </c>
      <c r="Y31">
        <v>532194</v>
      </c>
      <c r="Z31">
        <v>1</v>
      </c>
      <c r="AA31" t="s">
        <v>34</v>
      </c>
      <c r="AB31" t="s">
        <v>35</v>
      </c>
      <c r="AD31" t="s">
        <v>36</v>
      </c>
      <c r="AE31">
        <v>60.257044507597698</v>
      </c>
      <c r="AF31" t="s">
        <v>37</v>
      </c>
    </row>
    <row r="32" spans="1:32" x14ac:dyDescent="0.35">
      <c r="A32">
        <v>30</v>
      </c>
      <c r="B32">
        <v>0</v>
      </c>
      <c r="C32">
        <v>30</v>
      </c>
      <c r="D32" t="s">
        <v>32</v>
      </c>
      <c r="E32">
        <v>0</v>
      </c>
      <c r="F32">
        <v>0.47177449997980098</v>
      </c>
      <c r="G32" t="s">
        <v>33</v>
      </c>
      <c r="H32">
        <v>2</v>
      </c>
      <c r="I32">
        <v>30</v>
      </c>
      <c r="J32">
        <v>0</v>
      </c>
      <c r="K32">
        <v>30</v>
      </c>
      <c r="L32">
        <v>0</v>
      </c>
      <c r="M32">
        <v>45.809491100022498</v>
      </c>
      <c r="O32">
        <v>45.793807300040498</v>
      </c>
      <c r="P32">
        <v>45.809491100022498</v>
      </c>
      <c r="Q32">
        <v>46.792427600012097</v>
      </c>
      <c r="R32">
        <v>46.809299400076199</v>
      </c>
      <c r="S32">
        <v>47.279164100065799</v>
      </c>
      <c r="T32" t="s">
        <v>32</v>
      </c>
      <c r="U32">
        <v>0</v>
      </c>
      <c r="V32">
        <v>0.47177449997980098</v>
      </c>
      <c r="W32" t="s">
        <v>33</v>
      </c>
      <c r="X32">
        <v>2</v>
      </c>
      <c r="Y32">
        <v>532194</v>
      </c>
      <c r="Z32">
        <v>1</v>
      </c>
      <c r="AA32" t="s">
        <v>34</v>
      </c>
      <c r="AB32" t="s">
        <v>35</v>
      </c>
      <c r="AD32" t="s">
        <v>36</v>
      </c>
      <c r="AE32">
        <v>60.257044507597698</v>
      </c>
      <c r="AF32" t="s">
        <v>37</v>
      </c>
    </row>
    <row r="33" spans="1:32" x14ac:dyDescent="0.35">
      <c r="A33">
        <v>31</v>
      </c>
      <c r="B33">
        <v>0</v>
      </c>
      <c r="C33">
        <v>31</v>
      </c>
      <c r="D33" t="s">
        <v>32</v>
      </c>
      <c r="E33">
        <v>0</v>
      </c>
      <c r="F33">
        <v>0.48180170007981299</v>
      </c>
      <c r="G33" t="s">
        <v>33</v>
      </c>
      <c r="H33">
        <v>2</v>
      </c>
      <c r="I33">
        <v>31</v>
      </c>
      <c r="J33">
        <v>0</v>
      </c>
      <c r="K33">
        <v>31</v>
      </c>
      <c r="L33">
        <v>0</v>
      </c>
      <c r="M33">
        <v>47.292733900016103</v>
      </c>
      <c r="O33">
        <v>47.279594799969303</v>
      </c>
      <c r="P33">
        <v>47.292733900016103</v>
      </c>
      <c r="Q33">
        <v>48.2934603000758</v>
      </c>
      <c r="R33">
        <v>48.2934603000758</v>
      </c>
      <c r="S33">
        <v>48.776623400044599</v>
      </c>
      <c r="T33" t="s">
        <v>32</v>
      </c>
      <c r="U33">
        <v>0</v>
      </c>
      <c r="V33">
        <v>0.48180170007981299</v>
      </c>
      <c r="W33" t="s">
        <v>33</v>
      </c>
      <c r="X33">
        <v>2</v>
      </c>
      <c r="Y33">
        <v>532194</v>
      </c>
      <c r="Z33">
        <v>1</v>
      </c>
      <c r="AA33" t="s">
        <v>34</v>
      </c>
      <c r="AB33" t="s">
        <v>35</v>
      </c>
      <c r="AD33" t="s">
        <v>36</v>
      </c>
      <c r="AE33">
        <v>60.257044507597698</v>
      </c>
      <c r="AF33" t="s">
        <v>37</v>
      </c>
    </row>
    <row r="34" spans="1:32" x14ac:dyDescent="0.35">
      <c r="A34">
        <v>32</v>
      </c>
      <c r="B34">
        <v>0</v>
      </c>
      <c r="C34">
        <v>32</v>
      </c>
      <c r="D34" t="s">
        <v>32</v>
      </c>
      <c r="E34">
        <v>1</v>
      </c>
      <c r="F34">
        <v>0.45780249999370398</v>
      </c>
      <c r="G34" t="s">
        <v>33</v>
      </c>
      <c r="H34">
        <v>0</v>
      </c>
      <c r="I34">
        <v>32</v>
      </c>
      <c r="J34">
        <v>0</v>
      </c>
      <c r="K34">
        <v>32</v>
      </c>
      <c r="L34">
        <v>0</v>
      </c>
      <c r="M34">
        <v>48.792614500038297</v>
      </c>
      <c r="O34">
        <v>48.777266200049702</v>
      </c>
      <c r="P34">
        <v>48.792614500038297</v>
      </c>
      <c r="Q34">
        <v>49.7772561999736</v>
      </c>
      <c r="R34">
        <v>49.793941700016099</v>
      </c>
      <c r="S34">
        <v>50.253954600077101</v>
      </c>
      <c r="T34" t="s">
        <v>32</v>
      </c>
      <c r="U34">
        <v>1</v>
      </c>
      <c r="V34">
        <v>0.45780249999370398</v>
      </c>
      <c r="W34" t="s">
        <v>33</v>
      </c>
      <c r="X34">
        <v>0</v>
      </c>
      <c r="Y34">
        <v>532194</v>
      </c>
      <c r="Z34">
        <v>1</v>
      </c>
      <c r="AA34" t="s">
        <v>34</v>
      </c>
      <c r="AB34" t="s">
        <v>35</v>
      </c>
      <c r="AD34" t="s">
        <v>36</v>
      </c>
      <c r="AE34">
        <v>60.257044507597698</v>
      </c>
      <c r="AF34" t="s">
        <v>37</v>
      </c>
    </row>
    <row r="35" spans="1:32" x14ac:dyDescent="0.35">
      <c r="A35">
        <v>33</v>
      </c>
      <c r="B35">
        <v>0</v>
      </c>
      <c r="C35">
        <v>33</v>
      </c>
      <c r="D35" t="s">
        <v>32</v>
      </c>
      <c r="E35">
        <v>1</v>
      </c>
      <c r="F35">
        <v>0.454915400012396</v>
      </c>
      <c r="G35" t="s">
        <v>33</v>
      </c>
      <c r="H35">
        <v>0</v>
      </c>
      <c r="I35">
        <v>33</v>
      </c>
      <c r="J35">
        <v>0</v>
      </c>
      <c r="K35">
        <v>33</v>
      </c>
      <c r="L35">
        <v>0</v>
      </c>
      <c r="M35">
        <v>50.275587400072197</v>
      </c>
      <c r="O35">
        <v>50.254499900038297</v>
      </c>
      <c r="P35">
        <v>50.275587400072197</v>
      </c>
      <c r="Q35">
        <v>51.258697599987499</v>
      </c>
      <c r="R35">
        <v>51.274826599983498</v>
      </c>
      <c r="S35">
        <v>51.725821200059698</v>
      </c>
      <c r="T35" t="s">
        <v>32</v>
      </c>
      <c r="U35">
        <v>1</v>
      </c>
      <c r="V35">
        <v>0.454915400012396</v>
      </c>
      <c r="W35" t="s">
        <v>33</v>
      </c>
      <c r="X35">
        <v>0</v>
      </c>
      <c r="Y35">
        <v>532194</v>
      </c>
      <c r="Z35">
        <v>1</v>
      </c>
      <c r="AA35" t="s">
        <v>34</v>
      </c>
      <c r="AB35" t="s">
        <v>35</v>
      </c>
      <c r="AD35" t="s">
        <v>36</v>
      </c>
      <c r="AE35">
        <v>60.257044507597698</v>
      </c>
      <c r="AF35" t="s">
        <v>37</v>
      </c>
    </row>
    <row r="36" spans="1:32" x14ac:dyDescent="0.35">
      <c r="A36">
        <v>34</v>
      </c>
      <c r="B36">
        <v>0</v>
      </c>
      <c r="C36">
        <v>34</v>
      </c>
      <c r="D36" t="s">
        <v>32</v>
      </c>
      <c r="E36">
        <v>1</v>
      </c>
      <c r="F36">
        <v>0.58169160003308196</v>
      </c>
      <c r="G36" t="s">
        <v>33</v>
      </c>
      <c r="H36">
        <v>0</v>
      </c>
      <c r="I36">
        <v>34</v>
      </c>
      <c r="J36">
        <v>0</v>
      </c>
      <c r="K36">
        <v>34</v>
      </c>
      <c r="L36">
        <v>0</v>
      </c>
      <c r="M36">
        <v>51.742213000077697</v>
      </c>
      <c r="O36">
        <v>51.7264015000546</v>
      </c>
      <c r="P36">
        <v>51.742213000077697</v>
      </c>
      <c r="Q36">
        <v>52.728568800026501</v>
      </c>
      <c r="R36">
        <v>52.7429249000269</v>
      </c>
      <c r="S36">
        <v>53.326538300025199</v>
      </c>
      <c r="T36" t="s">
        <v>32</v>
      </c>
      <c r="U36">
        <v>1</v>
      </c>
      <c r="V36">
        <v>0.58169160003308196</v>
      </c>
      <c r="W36" t="s">
        <v>33</v>
      </c>
      <c r="X36">
        <v>0</v>
      </c>
      <c r="Y36">
        <v>532194</v>
      </c>
      <c r="Z36">
        <v>1</v>
      </c>
      <c r="AA36" t="s">
        <v>34</v>
      </c>
      <c r="AB36" t="s">
        <v>35</v>
      </c>
      <c r="AD36" t="s">
        <v>36</v>
      </c>
      <c r="AE36">
        <v>60.257044507597698</v>
      </c>
      <c r="AF36" t="s">
        <v>37</v>
      </c>
    </row>
    <row r="37" spans="1:32" x14ac:dyDescent="0.35">
      <c r="A37">
        <v>35</v>
      </c>
      <c r="B37">
        <v>0</v>
      </c>
      <c r="C37">
        <v>35</v>
      </c>
      <c r="D37" t="s">
        <v>38</v>
      </c>
      <c r="E37">
        <v>0</v>
      </c>
      <c r="F37">
        <v>0.57505670003592901</v>
      </c>
      <c r="G37" t="s">
        <v>33</v>
      </c>
      <c r="H37">
        <v>0</v>
      </c>
      <c r="I37">
        <v>35</v>
      </c>
      <c r="J37">
        <v>0</v>
      </c>
      <c r="K37">
        <v>35</v>
      </c>
      <c r="L37">
        <v>0</v>
      </c>
      <c r="M37">
        <v>53.342663399991501</v>
      </c>
      <c r="O37">
        <v>53.3269906999776</v>
      </c>
      <c r="P37">
        <v>53.342663399991501</v>
      </c>
      <c r="Q37">
        <v>54.342000900069202</v>
      </c>
      <c r="R37">
        <v>54.342000900069202</v>
      </c>
      <c r="S37">
        <v>54.928854300058397</v>
      </c>
      <c r="T37" t="s">
        <v>38</v>
      </c>
      <c r="U37">
        <v>0</v>
      </c>
      <c r="V37">
        <v>0.57505670003592901</v>
      </c>
      <c r="W37" t="s">
        <v>33</v>
      </c>
      <c r="X37">
        <v>0</v>
      </c>
      <c r="Y37">
        <v>532194</v>
      </c>
      <c r="Z37">
        <v>1</v>
      </c>
      <c r="AA37" t="s">
        <v>34</v>
      </c>
      <c r="AB37" t="s">
        <v>35</v>
      </c>
      <c r="AD37" t="s">
        <v>36</v>
      </c>
      <c r="AE37">
        <v>60.257044507597698</v>
      </c>
      <c r="AF37" t="s">
        <v>37</v>
      </c>
    </row>
    <row r="38" spans="1:32" x14ac:dyDescent="0.35">
      <c r="A38">
        <v>36</v>
      </c>
      <c r="B38">
        <v>0</v>
      </c>
      <c r="C38">
        <v>36</v>
      </c>
      <c r="D38" t="s">
        <v>32</v>
      </c>
      <c r="E38">
        <v>0</v>
      </c>
      <c r="F38">
        <v>0.608115699957124</v>
      </c>
      <c r="G38" t="s">
        <v>33</v>
      </c>
      <c r="H38">
        <v>3</v>
      </c>
      <c r="I38">
        <v>36</v>
      </c>
      <c r="J38">
        <v>0</v>
      </c>
      <c r="K38">
        <v>36</v>
      </c>
      <c r="L38">
        <v>0</v>
      </c>
      <c r="M38">
        <v>54.942965400055897</v>
      </c>
      <c r="O38">
        <v>54.929538200027302</v>
      </c>
      <c r="P38">
        <v>54.942965400055897</v>
      </c>
      <c r="Q38">
        <v>55.9412588999839</v>
      </c>
      <c r="R38">
        <v>55.958430300000998</v>
      </c>
      <c r="S38">
        <v>56.559779800008897</v>
      </c>
      <c r="T38" t="s">
        <v>32</v>
      </c>
      <c r="U38">
        <v>0</v>
      </c>
      <c r="V38">
        <v>0.608115699957124</v>
      </c>
      <c r="W38" t="s">
        <v>33</v>
      </c>
      <c r="X38">
        <v>3</v>
      </c>
      <c r="Y38">
        <v>532194</v>
      </c>
      <c r="Z38">
        <v>1</v>
      </c>
      <c r="AA38" t="s">
        <v>34</v>
      </c>
      <c r="AB38" t="s">
        <v>35</v>
      </c>
      <c r="AD38" t="s">
        <v>36</v>
      </c>
      <c r="AE38">
        <v>60.257044507597698</v>
      </c>
      <c r="AF38" t="s">
        <v>37</v>
      </c>
    </row>
    <row r="39" spans="1:32" x14ac:dyDescent="0.35">
      <c r="A39">
        <v>37</v>
      </c>
      <c r="B39">
        <v>0</v>
      </c>
      <c r="C39">
        <v>37</v>
      </c>
      <c r="D39" t="s">
        <v>38</v>
      </c>
      <c r="E39">
        <v>1</v>
      </c>
      <c r="F39">
        <v>0.92705119994934604</v>
      </c>
      <c r="G39" t="s">
        <v>33</v>
      </c>
      <c r="H39">
        <v>2</v>
      </c>
      <c r="I39">
        <v>37</v>
      </c>
      <c r="J39">
        <v>0</v>
      </c>
      <c r="K39">
        <v>37</v>
      </c>
      <c r="L39">
        <v>0</v>
      </c>
      <c r="M39">
        <v>56.575236500008003</v>
      </c>
      <c r="O39">
        <v>56.560473000048603</v>
      </c>
      <c r="P39">
        <v>56.575236500008003</v>
      </c>
      <c r="Q39">
        <v>57.577362000010901</v>
      </c>
      <c r="R39">
        <v>57.577362000010901</v>
      </c>
      <c r="S39">
        <v>58.509747900068703</v>
      </c>
      <c r="T39" t="s">
        <v>38</v>
      </c>
      <c r="U39">
        <v>1</v>
      </c>
      <c r="V39">
        <v>0.92705119994934604</v>
      </c>
      <c r="W39" t="s">
        <v>33</v>
      </c>
      <c r="X39">
        <v>2</v>
      </c>
      <c r="Y39">
        <v>532194</v>
      </c>
      <c r="Z39">
        <v>1</v>
      </c>
      <c r="AA39" t="s">
        <v>34</v>
      </c>
      <c r="AB39" t="s">
        <v>35</v>
      </c>
      <c r="AD39" t="s">
        <v>36</v>
      </c>
      <c r="AE39">
        <v>60.257044507597698</v>
      </c>
      <c r="AF39" t="s">
        <v>37</v>
      </c>
    </row>
    <row r="40" spans="1:32" x14ac:dyDescent="0.35">
      <c r="A40">
        <v>38</v>
      </c>
      <c r="B40">
        <v>0</v>
      </c>
      <c r="C40">
        <v>38</v>
      </c>
      <c r="D40" t="s">
        <v>32</v>
      </c>
      <c r="E40">
        <v>0</v>
      </c>
      <c r="F40">
        <v>0.50975109997671098</v>
      </c>
      <c r="G40" t="s">
        <v>33</v>
      </c>
      <c r="H40">
        <v>2</v>
      </c>
      <c r="I40">
        <v>38</v>
      </c>
      <c r="J40">
        <v>0</v>
      </c>
      <c r="K40">
        <v>38</v>
      </c>
      <c r="L40">
        <v>0</v>
      </c>
      <c r="M40">
        <v>58.524927100050199</v>
      </c>
      <c r="O40">
        <v>58.510270999977301</v>
      </c>
      <c r="P40">
        <v>58.524927100050199</v>
      </c>
      <c r="Q40">
        <v>59.523714900016699</v>
      </c>
      <c r="R40">
        <v>59.523714900016699</v>
      </c>
      <c r="S40">
        <v>60.042748900013898</v>
      </c>
      <c r="T40" t="s">
        <v>32</v>
      </c>
      <c r="U40">
        <v>0</v>
      </c>
      <c r="V40">
        <v>0.50975109997671098</v>
      </c>
      <c r="W40" t="s">
        <v>33</v>
      </c>
      <c r="X40">
        <v>2</v>
      </c>
      <c r="Y40">
        <v>532194</v>
      </c>
      <c r="Z40">
        <v>1</v>
      </c>
      <c r="AA40" t="s">
        <v>34</v>
      </c>
      <c r="AB40" t="s">
        <v>35</v>
      </c>
      <c r="AD40" t="s">
        <v>36</v>
      </c>
      <c r="AE40">
        <v>60.257044507597698</v>
      </c>
      <c r="AF40" t="s">
        <v>37</v>
      </c>
    </row>
    <row r="41" spans="1:32" x14ac:dyDescent="0.35">
      <c r="A41">
        <v>39</v>
      </c>
      <c r="B41">
        <v>0</v>
      </c>
      <c r="C41">
        <v>39</v>
      </c>
      <c r="D41" t="s">
        <v>32</v>
      </c>
      <c r="E41">
        <v>0</v>
      </c>
      <c r="F41">
        <v>0.53526319994125504</v>
      </c>
      <c r="G41" t="s">
        <v>33</v>
      </c>
      <c r="H41">
        <v>1</v>
      </c>
      <c r="I41">
        <v>39</v>
      </c>
      <c r="J41">
        <v>0</v>
      </c>
      <c r="K41">
        <v>39</v>
      </c>
      <c r="L41">
        <v>0</v>
      </c>
      <c r="M41">
        <v>60.058587900013599</v>
      </c>
      <c r="O41">
        <v>60.043370199971797</v>
      </c>
      <c r="P41">
        <v>60.058587900013599</v>
      </c>
      <c r="Q41">
        <v>61.058512000017799</v>
      </c>
      <c r="R41">
        <v>61.058512000017799</v>
      </c>
      <c r="S41">
        <v>61.610250200028503</v>
      </c>
      <c r="T41" t="s">
        <v>32</v>
      </c>
      <c r="U41">
        <v>0</v>
      </c>
      <c r="V41">
        <v>0.53526319994125504</v>
      </c>
      <c r="W41" t="s">
        <v>33</v>
      </c>
      <c r="X41">
        <v>1</v>
      </c>
      <c r="Y41">
        <v>532194</v>
      </c>
      <c r="Z41">
        <v>1</v>
      </c>
      <c r="AA41" t="s">
        <v>34</v>
      </c>
      <c r="AB41" t="s">
        <v>35</v>
      </c>
      <c r="AD41" t="s">
        <v>36</v>
      </c>
      <c r="AE41">
        <v>60.257044507597698</v>
      </c>
      <c r="AF41" t="s">
        <v>37</v>
      </c>
    </row>
    <row r="42" spans="1:32" x14ac:dyDescent="0.35">
      <c r="A42">
        <v>40</v>
      </c>
      <c r="B42">
        <v>0</v>
      </c>
      <c r="C42">
        <v>40</v>
      </c>
      <c r="D42" t="s">
        <v>32</v>
      </c>
      <c r="E42">
        <v>1</v>
      </c>
      <c r="F42">
        <v>0.475661200005561</v>
      </c>
      <c r="G42" t="s">
        <v>33</v>
      </c>
      <c r="H42">
        <v>0</v>
      </c>
      <c r="I42">
        <v>40</v>
      </c>
      <c r="J42">
        <v>0</v>
      </c>
      <c r="K42">
        <v>40</v>
      </c>
      <c r="L42">
        <v>0</v>
      </c>
      <c r="M42">
        <v>61.624339099973398</v>
      </c>
      <c r="O42">
        <v>61.610960399964803</v>
      </c>
      <c r="P42">
        <v>61.624339099973398</v>
      </c>
      <c r="Q42">
        <v>62.624894900014603</v>
      </c>
      <c r="R42">
        <v>62.624894900014603</v>
      </c>
      <c r="S42">
        <v>63.109327999991301</v>
      </c>
      <c r="T42" t="s">
        <v>32</v>
      </c>
      <c r="U42">
        <v>1</v>
      </c>
      <c r="V42">
        <v>0.475661200005561</v>
      </c>
      <c r="W42" t="s">
        <v>33</v>
      </c>
      <c r="X42">
        <v>0</v>
      </c>
      <c r="Y42">
        <v>532194</v>
      </c>
      <c r="Z42">
        <v>1</v>
      </c>
      <c r="AA42" t="s">
        <v>34</v>
      </c>
      <c r="AB42" t="s">
        <v>35</v>
      </c>
      <c r="AD42" t="s">
        <v>36</v>
      </c>
      <c r="AE42">
        <v>60.257044507597698</v>
      </c>
      <c r="AF42" t="s">
        <v>37</v>
      </c>
    </row>
    <row r="43" spans="1:32" x14ac:dyDescent="0.35">
      <c r="A43">
        <v>41</v>
      </c>
      <c r="B43">
        <v>0</v>
      </c>
      <c r="C43">
        <v>41</v>
      </c>
      <c r="D43" t="s">
        <v>32</v>
      </c>
      <c r="E43">
        <v>1</v>
      </c>
      <c r="F43">
        <v>0.59636999992653705</v>
      </c>
      <c r="G43" t="s">
        <v>33</v>
      </c>
      <c r="H43">
        <v>0</v>
      </c>
      <c r="I43">
        <v>41</v>
      </c>
      <c r="J43">
        <v>0</v>
      </c>
      <c r="K43">
        <v>41</v>
      </c>
      <c r="L43">
        <v>0</v>
      </c>
      <c r="M43">
        <v>63.124830999993698</v>
      </c>
      <c r="O43">
        <v>63.110120699973699</v>
      </c>
      <c r="P43">
        <v>63.124830999993698</v>
      </c>
      <c r="Q43">
        <v>64.125005200039595</v>
      </c>
      <c r="R43">
        <v>64.125005200039595</v>
      </c>
      <c r="S43">
        <v>64.725651700049596</v>
      </c>
      <c r="T43" t="s">
        <v>32</v>
      </c>
      <c r="U43">
        <v>1</v>
      </c>
      <c r="V43">
        <v>0.59636999992653705</v>
      </c>
      <c r="W43" t="s">
        <v>33</v>
      </c>
      <c r="X43">
        <v>0</v>
      </c>
      <c r="Y43">
        <v>532194</v>
      </c>
      <c r="Z43">
        <v>1</v>
      </c>
      <c r="AA43" t="s">
        <v>34</v>
      </c>
      <c r="AB43" t="s">
        <v>35</v>
      </c>
      <c r="AD43" t="s">
        <v>36</v>
      </c>
      <c r="AE43">
        <v>60.257044507597698</v>
      </c>
      <c r="AF43" t="s">
        <v>37</v>
      </c>
    </row>
    <row r="44" spans="1:32" x14ac:dyDescent="0.35">
      <c r="A44">
        <v>42</v>
      </c>
      <c r="B44">
        <v>0</v>
      </c>
      <c r="C44">
        <v>42</v>
      </c>
      <c r="D44" t="s">
        <v>32</v>
      </c>
      <c r="E44">
        <v>1</v>
      </c>
      <c r="F44">
        <v>0.51022209995426204</v>
      </c>
      <c r="G44" t="s">
        <v>33</v>
      </c>
      <c r="H44">
        <v>0</v>
      </c>
      <c r="I44">
        <v>42</v>
      </c>
      <c r="J44">
        <v>0</v>
      </c>
      <c r="K44">
        <v>42</v>
      </c>
      <c r="L44">
        <v>0</v>
      </c>
      <c r="M44">
        <v>64.741283199982703</v>
      </c>
      <c r="O44">
        <v>64.726241800002697</v>
      </c>
      <c r="P44">
        <v>64.741283199982703</v>
      </c>
      <c r="Q44">
        <v>65.740796800004304</v>
      </c>
      <c r="R44">
        <v>65.740796800004304</v>
      </c>
      <c r="S44">
        <v>66.256789400009396</v>
      </c>
      <c r="T44" t="s">
        <v>32</v>
      </c>
      <c r="U44">
        <v>1</v>
      </c>
      <c r="V44">
        <v>0.51022209995426204</v>
      </c>
      <c r="W44" t="s">
        <v>33</v>
      </c>
      <c r="X44">
        <v>0</v>
      </c>
      <c r="Y44">
        <v>532194</v>
      </c>
      <c r="Z44">
        <v>1</v>
      </c>
      <c r="AA44" t="s">
        <v>34</v>
      </c>
      <c r="AB44" t="s">
        <v>35</v>
      </c>
      <c r="AD44" t="s">
        <v>36</v>
      </c>
      <c r="AE44">
        <v>60.257044507597698</v>
      </c>
      <c r="AF44" t="s">
        <v>37</v>
      </c>
    </row>
    <row r="45" spans="1:32" x14ac:dyDescent="0.35">
      <c r="A45">
        <v>43</v>
      </c>
      <c r="B45">
        <v>0</v>
      </c>
      <c r="C45">
        <v>43</v>
      </c>
      <c r="D45" t="s">
        <v>38</v>
      </c>
      <c r="E45">
        <v>1</v>
      </c>
      <c r="F45">
        <v>0.47972060006577499</v>
      </c>
      <c r="G45" t="s">
        <v>33</v>
      </c>
      <c r="H45">
        <v>-2</v>
      </c>
      <c r="I45">
        <v>43</v>
      </c>
      <c r="J45">
        <v>0</v>
      </c>
      <c r="K45">
        <v>43</v>
      </c>
      <c r="L45">
        <v>0</v>
      </c>
      <c r="M45">
        <v>66.272604400059194</v>
      </c>
      <c r="O45">
        <v>66.257239300059098</v>
      </c>
      <c r="P45">
        <v>66.272604400059194</v>
      </c>
      <c r="Q45">
        <v>67.256000900059007</v>
      </c>
      <c r="R45">
        <v>67.272465500049293</v>
      </c>
      <c r="S45">
        <v>67.742784000001805</v>
      </c>
      <c r="T45" t="s">
        <v>38</v>
      </c>
      <c r="U45">
        <v>1</v>
      </c>
      <c r="V45">
        <v>0.47972060006577499</v>
      </c>
      <c r="W45" t="s">
        <v>33</v>
      </c>
      <c r="X45">
        <v>-2</v>
      </c>
      <c r="Y45">
        <v>532194</v>
      </c>
      <c r="Z45">
        <v>1</v>
      </c>
      <c r="AA45" t="s">
        <v>34</v>
      </c>
      <c r="AB45" t="s">
        <v>35</v>
      </c>
      <c r="AD45" t="s">
        <v>36</v>
      </c>
      <c r="AE45">
        <v>60.257044507597698</v>
      </c>
      <c r="AF45" t="s">
        <v>37</v>
      </c>
    </row>
    <row r="46" spans="1:32" x14ac:dyDescent="0.35">
      <c r="A46">
        <v>44</v>
      </c>
      <c r="B46">
        <v>0</v>
      </c>
      <c r="C46">
        <v>44</v>
      </c>
      <c r="D46" t="s">
        <v>32</v>
      </c>
      <c r="E46">
        <v>0</v>
      </c>
      <c r="F46">
        <v>0.46192600007634599</v>
      </c>
      <c r="G46" t="s">
        <v>33</v>
      </c>
      <c r="H46">
        <v>-4</v>
      </c>
      <c r="I46">
        <v>44</v>
      </c>
      <c r="J46">
        <v>0</v>
      </c>
      <c r="K46">
        <v>44</v>
      </c>
      <c r="L46">
        <v>0</v>
      </c>
      <c r="M46">
        <v>67.7566306999651</v>
      </c>
      <c r="O46">
        <v>67.743451300077098</v>
      </c>
      <c r="P46">
        <v>67.7566306999651</v>
      </c>
      <c r="Q46">
        <v>68.761406000004996</v>
      </c>
      <c r="R46">
        <v>68.761406000004996</v>
      </c>
      <c r="S46">
        <v>69.239760300028095</v>
      </c>
      <c r="T46" t="s">
        <v>32</v>
      </c>
      <c r="U46">
        <v>0</v>
      </c>
      <c r="V46">
        <v>0.46192600007634599</v>
      </c>
      <c r="W46" t="s">
        <v>33</v>
      </c>
      <c r="X46">
        <v>-4</v>
      </c>
      <c r="Y46">
        <v>532194</v>
      </c>
      <c r="Z46">
        <v>1</v>
      </c>
      <c r="AA46" t="s">
        <v>34</v>
      </c>
      <c r="AB46" t="s">
        <v>35</v>
      </c>
      <c r="AD46" t="s">
        <v>36</v>
      </c>
      <c r="AE46">
        <v>60.257044507597698</v>
      </c>
      <c r="AF46" t="s">
        <v>37</v>
      </c>
    </row>
    <row r="47" spans="1:32" x14ac:dyDescent="0.35">
      <c r="A47">
        <v>45</v>
      </c>
      <c r="B47">
        <v>0</v>
      </c>
      <c r="C47">
        <v>45</v>
      </c>
      <c r="D47" t="s">
        <v>32</v>
      </c>
      <c r="E47">
        <v>0</v>
      </c>
      <c r="F47">
        <v>0.85679929994512305</v>
      </c>
      <c r="G47" t="s">
        <v>33</v>
      </c>
      <c r="H47">
        <v>4</v>
      </c>
      <c r="I47">
        <v>45</v>
      </c>
      <c r="J47">
        <v>0</v>
      </c>
      <c r="K47">
        <v>45</v>
      </c>
      <c r="L47">
        <v>0</v>
      </c>
      <c r="M47">
        <v>69.256589700002195</v>
      </c>
      <c r="O47">
        <v>69.240179900079895</v>
      </c>
      <c r="P47">
        <v>69.256589700002195</v>
      </c>
      <c r="Q47">
        <v>70.239409500034498</v>
      </c>
      <c r="R47">
        <v>70.255416000029001</v>
      </c>
      <c r="S47">
        <v>71.109745500027202</v>
      </c>
      <c r="T47" t="s">
        <v>32</v>
      </c>
      <c r="U47">
        <v>0</v>
      </c>
      <c r="V47">
        <v>0.85679929994512305</v>
      </c>
      <c r="W47" t="s">
        <v>33</v>
      </c>
      <c r="X47">
        <v>4</v>
      </c>
      <c r="Y47">
        <v>532194</v>
      </c>
      <c r="Z47">
        <v>1</v>
      </c>
      <c r="AA47" t="s">
        <v>34</v>
      </c>
      <c r="AB47" t="s">
        <v>35</v>
      </c>
      <c r="AD47" t="s">
        <v>36</v>
      </c>
      <c r="AE47">
        <v>60.257044507597698</v>
      </c>
      <c r="AF47" t="s">
        <v>37</v>
      </c>
    </row>
    <row r="48" spans="1:32" x14ac:dyDescent="0.35">
      <c r="A48">
        <v>46</v>
      </c>
      <c r="B48">
        <v>0</v>
      </c>
      <c r="C48">
        <v>46</v>
      </c>
      <c r="D48" t="s">
        <v>32</v>
      </c>
      <c r="E48">
        <v>0</v>
      </c>
      <c r="F48">
        <v>0.82581369997933496</v>
      </c>
      <c r="G48" t="s">
        <v>33</v>
      </c>
      <c r="H48">
        <v>2</v>
      </c>
      <c r="I48">
        <v>46</v>
      </c>
      <c r="J48">
        <v>0</v>
      </c>
      <c r="K48">
        <v>46</v>
      </c>
      <c r="L48">
        <v>0</v>
      </c>
      <c r="M48">
        <v>71.1238996000029</v>
      </c>
      <c r="O48">
        <v>71.110430100001395</v>
      </c>
      <c r="P48">
        <v>71.1238996000029</v>
      </c>
      <c r="Q48">
        <v>72.1227034999756</v>
      </c>
      <c r="R48">
        <v>72.1227034999756</v>
      </c>
      <c r="S48">
        <v>72.956235800054799</v>
      </c>
      <c r="T48" t="s">
        <v>32</v>
      </c>
      <c r="U48">
        <v>0</v>
      </c>
      <c r="V48">
        <v>0.82581369997933496</v>
      </c>
      <c r="W48" t="s">
        <v>33</v>
      </c>
      <c r="X48">
        <v>2</v>
      </c>
      <c r="Y48">
        <v>532194</v>
      </c>
      <c r="Z48">
        <v>1</v>
      </c>
      <c r="AA48" t="s">
        <v>34</v>
      </c>
      <c r="AB48" t="s">
        <v>35</v>
      </c>
      <c r="AD48" t="s">
        <v>36</v>
      </c>
      <c r="AE48">
        <v>60.257044507597698</v>
      </c>
      <c r="AF48" t="s">
        <v>37</v>
      </c>
    </row>
    <row r="49" spans="1:32" x14ac:dyDescent="0.35">
      <c r="A49">
        <v>47</v>
      </c>
      <c r="B49">
        <v>0</v>
      </c>
      <c r="C49">
        <v>47</v>
      </c>
      <c r="D49" t="s">
        <v>38</v>
      </c>
      <c r="E49">
        <v>0</v>
      </c>
      <c r="F49">
        <v>0.84208980004768796</v>
      </c>
      <c r="G49" t="s">
        <v>33</v>
      </c>
      <c r="H49">
        <v>0</v>
      </c>
      <c r="I49">
        <v>47</v>
      </c>
      <c r="J49">
        <v>0</v>
      </c>
      <c r="K49">
        <v>47</v>
      </c>
      <c r="L49">
        <v>0</v>
      </c>
      <c r="M49">
        <v>72.9725083999801</v>
      </c>
      <c r="O49">
        <v>72.956711300066601</v>
      </c>
      <c r="P49">
        <v>72.9725083999801</v>
      </c>
      <c r="Q49">
        <v>73.972538699978003</v>
      </c>
      <c r="R49">
        <v>73.972538699978003</v>
      </c>
      <c r="S49">
        <v>74.821786100044804</v>
      </c>
      <c r="T49" t="s">
        <v>38</v>
      </c>
      <c r="U49">
        <v>0</v>
      </c>
      <c r="V49">
        <v>0.84208980004768796</v>
      </c>
      <c r="W49" t="s">
        <v>33</v>
      </c>
      <c r="X49">
        <v>0</v>
      </c>
      <c r="Y49">
        <v>532194</v>
      </c>
      <c r="Z49">
        <v>1</v>
      </c>
      <c r="AA49" t="s">
        <v>34</v>
      </c>
      <c r="AB49" t="s">
        <v>35</v>
      </c>
      <c r="AD49" t="s">
        <v>36</v>
      </c>
      <c r="AE49">
        <v>60.257044507597698</v>
      </c>
      <c r="AF49" t="s">
        <v>37</v>
      </c>
    </row>
    <row r="50" spans="1:32" x14ac:dyDescent="0.35">
      <c r="A50">
        <v>48</v>
      </c>
      <c r="B50">
        <v>0</v>
      </c>
      <c r="C50">
        <v>48</v>
      </c>
      <c r="D50" t="s">
        <v>32</v>
      </c>
      <c r="E50">
        <v>1</v>
      </c>
      <c r="F50">
        <v>0.65353520005010002</v>
      </c>
      <c r="G50" t="s">
        <v>33</v>
      </c>
      <c r="H50">
        <v>0</v>
      </c>
      <c r="I50">
        <v>48</v>
      </c>
      <c r="J50">
        <v>0</v>
      </c>
      <c r="K50">
        <v>48</v>
      </c>
      <c r="L50">
        <v>0</v>
      </c>
      <c r="M50">
        <v>74.837694399990099</v>
      </c>
      <c r="O50">
        <v>74.822171000065197</v>
      </c>
      <c r="P50">
        <v>74.837694399990099</v>
      </c>
      <c r="Q50">
        <v>75.8210833000484</v>
      </c>
      <c r="R50">
        <v>75.838004200020805</v>
      </c>
      <c r="S50">
        <v>76.488845300045796</v>
      </c>
      <c r="T50" t="s">
        <v>32</v>
      </c>
      <c r="U50">
        <v>1</v>
      </c>
      <c r="V50">
        <v>0.65353520005010002</v>
      </c>
      <c r="W50" t="s">
        <v>33</v>
      </c>
      <c r="X50">
        <v>0</v>
      </c>
      <c r="Y50">
        <v>532194</v>
      </c>
      <c r="Z50">
        <v>1</v>
      </c>
      <c r="AA50" t="s">
        <v>34</v>
      </c>
      <c r="AB50" t="s">
        <v>35</v>
      </c>
      <c r="AD50" t="s">
        <v>36</v>
      </c>
      <c r="AE50">
        <v>60.257044507597698</v>
      </c>
      <c r="AF50" t="s">
        <v>37</v>
      </c>
    </row>
    <row r="51" spans="1:32" x14ac:dyDescent="0.35">
      <c r="A51">
        <v>49</v>
      </c>
      <c r="B51">
        <v>0</v>
      </c>
      <c r="C51">
        <v>49</v>
      </c>
      <c r="D51" t="s">
        <v>32</v>
      </c>
      <c r="E51">
        <v>1</v>
      </c>
      <c r="F51">
        <v>0.56579829996917397</v>
      </c>
      <c r="G51" t="s">
        <v>33</v>
      </c>
      <c r="H51">
        <v>0</v>
      </c>
      <c r="I51">
        <v>49</v>
      </c>
      <c r="J51">
        <v>0</v>
      </c>
      <c r="K51">
        <v>49</v>
      </c>
      <c r="L51">
        <v>0</v>
      </c>
      <c r="M51">
        <v>76.504570999997597</v>
      </c>
      <c r="O51">
        <v>76.489275100058805</v>
      </c>
      <c r="P51">
        <v>76.504570999997597</v>
      </c>
      <c r="Q51">
        <v>77.504423900041701</v>
      </c>
      <c r="R51">
        <v>77.504423900041701</v>
      </c>
      <c r="S51">
        <v>78.0734897999791</v>
      </c>
      <c r="T51" t="s">
        <v>32</v>
      </c>
      <c r="U51">
        <v>1</v>
      </c>
      <c r="V51">
        <v>0.56579829996917397</v>
      </c>
      <c r="W51" t="s">
        <v>33</v>
      </c>
      <c r="X51">
        <v>0</v>
      </c>
      <c r="Y51">
        <v>532194</v>
      </c>
      <c r="Z51">
        <v>1</v>
      </c>
      <c r="AA51" t="s">
        <v>34</v>
      </c>
      <c r="AB51" t="s">
        <v>35</v>
      </c>
      <c r="AD51" t="s">
        <v>36</v>
      </c>
      <c r="AE51">
        <v>60.257044507597698</v>
      </c>
      <c r="AF51" t="s">
        <v>37</v>
      </c>
    </row>
    <row r="52" spans="1:32" x14ac:dyDescent="0.35">
      <c r="A52">
        <v>50</v>
      </c>
      <c r="B52">
        <v>0</v>
      </c>
      <c r="C52">
        <v>50</v>
      </c>
      <c r="D52" t="s">
        <v>32</v>
      </c>
      <c r="E52">
        <v>0</v>
      </c>
      <c r="F52">
        <v>0.83744400006253195</v>
      </c>
      <c r="G52" t="s">
        <v>33</v>
      </c>
      <c r="H52">
        <v>3</v>
      </c>
      <c r="I52">
        <v>50</v>
      </c>
      <c r="J52">
        <v>0</v>
      </c>
      <c r="K52">
        <v>50</v>
      </c>
      <c r="L52">
        <v>0</v>
      </c>
      <c r="M52">
        <v>78.087713100016103</v>
      </c>
      <c r="O52">
        <v>78.074107200023704</v>
      </c>
      <c r="P52">
        <v>78.087713100016103</v>
      </c>
      <c r="Q52">
        <v>79.087774300016406</v>
      </c>
      <c r="R52">
        <v>79.087774300016406</v>
      </c>
      <c r="S52">
        <v>79.938412999967099</v>
      </c>
      <c r="T52" t="s">
        <v>32</v>
      </c>
      <c r="U52">
        <v>0</v>
      </c>
      <c r="V52">
        <v>0.83744400006253195</v>
      </c>
      <c r="W52" t="s">
        <v>33</v>
      </c>
      <c r="X52">
        <v>3</v>
      </c>
      <c r="Y52">
        <v>532194</v>
      </c>
      <c r="Z52">
        <v>1</v>
      </c>
      <c r="AA52" t="s">
        <v>34</v>
      </c>
      <c r="AB52" t="s">
        <v>35</v>
      </c>
      <c r="AD52" t="s">
        <v>36</v>
      </c>
      <c r="AE52">
        <v>60.257044507597698</v>
      </c>
      <c r="AF52" t="s">
        <v>37</v>
      </c>
    </row>
    <row r="53" spans="1:32" x14ac:dyDescent="0.35">
      <c r="A53">
        <v>51</v>
      </c>
      <c r="B53">
        <v>0</v>
      </c>
      <c r="C53">
        <v>51</v>
      </c>
      <c r="D53" t="s">
        <v>38</v>
      </c>
      <c r="E53">
        <v>0</v>
      </c>
      <c r="F53">
        <v>0.89234010002110098</v>
      </c>
      <c r="G53" t="s">
        <v>33</v>
      </c>
      <c r="H53">
        <v>0</v>
      </c>
      <c r="I53">
        <v>51</v>
      </c>
      <c r="J53">
        <v>0</v>
      </c>
      <c r="K53">
        <v>51</v>
      </c>
      <c r="L53">
        <v>0</v>
      </c>
      <c r="M53">
        <v>79.954440100002103</v>
      </c>
      <c r="O53">
        <v>79.939013600000095</v>
      </c>
      <c r="P53">
        <v>79.954440100002103</v>
      </c>
      <c r="Q53">
        <v>80.954221000079997</v>
      </c>
      <c r="R53">
        <v>80.954221000079997</v>
      </c>
      <c r="S53">
        <v>81.854995300062001</v>
      </c>
      <c r="T53" t="s">
        <v>38</v>
      </c>
      <c r="U53">
        <v>0</v>
      </c>
      <c r="V53">
        <v>0.89234010002110098</v>
      </c>
      <c r="W53" t="s">
        <v>33</v>
      </c>
      <c r="X53">
        <v>0</v>
      </c>
      <c r="Y53">
        <v>532194</v>
      </c>
      <c r="Z53">
        <v>1</v>
      </c>
      <c r="AA53" t="s">
        <v>34</v>
      </c>
      <c r="AB53" t="s">
        <v>35</v>
      </c>
      <c r="AD53" t="s">
        <v>36</v>
      </c>
      <c r="AE53">
        <v>60.257044507597698</v>
      </c>
      <c r="AF53" t="s">
        <v>37</v>
      </c>
    </row>
    <row r="54" spans="1:32" x14ac:dyDescent="0.35">
      <c r="A54">
        <v>52</v>
      </c>
      <c r="B54">
        <v>0</v>
      </c>
      <c r="C54">
        <v>52</v>
      </c>
      <c r="D54" t="s">
        <v>32</v>
      </c>
      <c r="E54">
        <v>0</v>
      </c>
      <c r="F54">
        <v>0.42692570004146502</v>
      </c>
      <c r="G54" t="s">
        <v>33</v>
      </c>
      <c r="H54">
        <v>-3</v>
      </c>
      <c r="I54">
        <v>52</v>
      </c>
      <c r="J54">
        <v>0</v>
      </c>
      <c r="K54">
        <v>52</v>
      </c>
      <c r="L54">
        <v>0</v>
      </c>
      <c r="M54">
        <v>81.870476800017002</v>
      </c>
      <c r="O54">
        <v>81.855479800025904</v>
      </c>
      <c r="P54">
        <v>81.870476800017002</v>
      </c>
      <c r="Q54">
        <v>82.870011699968003</v>
      </c>
      <c r="R54">
        <v>82.870011699968003</v>
      </c>
      <c r="S54">
        <v>83.30495660007</v>
      </c>
      <c r="T54" t="s">
        <v>32</v>
      </c>
      <c r="U54">
        <v>0</v>
      </c>
      <c r="V54">
        <v>0.42692570004146502</v>
      </c>
      <c r="W54" t="s">
        <v>33</v>
      </c>
      <c r="X54">
        <v>-3</v>
      </c>
      <c r="Y54">
        <v>532194</v>
      </c>
      <c r="Z54">
        <v>1</v>
      </c>
      <c r="AA54" t="s">
        <v>34</v>
      </c>
      <c r="AB54" t="s">
        <v>35</v>
      </c>
      <c r="AD54" t="s">
        <v>36</v>
      </c>
      <c r="AE54">
        <v>60.257044507597698</v>
      </c>
      <c r="AF54" t="s">
        <v>37</v>
      </c>
    </row>
    <row r="55" spans="1:32" x14ac:dyDescent="0.35">
      <c r="A55">
        <v>53</v>
      </c>
      <c r="B55">
        <v>0</v>
      </c>
      <c r="C55">
        <v>53</v>
      </c>
      <c r="D55" t="s">
        <v>32</v>
      </c>
      <c r="E55">
        <v>0</v>
      </c>
      <c r="F55">
        <v>0.52325359999667798</v>
      </c>
      <c r="G55" t="s">
        <v>33</v>
      </c>
      <c r="H55">
        <v>-4</v>
      </c>
      <c r="I55">
        <v>53</v>
      </c>
      <c r="J55">
        <v>0</v>
      </c>
      <c r="K55">
        <v>53</v>
      </c>
      <c r="L55">
        <v>0</v>
      </c>
      <c r="M55">
        <v>83.320772300008599</v>
      </c>
      <c r="O55">
        <v>83.305729400017299</v>
      </c>
      <c r="P55">
        <v>83.320772300008599</v>
      </c>
      <c r="Q55">
        <v>84.303527400013905</v>
      </c>
      <c r="R55">
        <v>84.320365500054294</v>
      </c>
      <c r="S55">
        <v>84.8384606000036</v>
      </c>
      <c r="T55" t="s">
        <v>32</v>
      </c>
      <c r="U55">
        <v>0</v>
      </c>
      <c r="V55">
        <v>0.52325359999667798</v>
      </c>
      <c r="W55" t="s">
        <v>33</v>
      </c>
      <c r="X55">
        <v>-4</v>
      </c>
      <c r="Y55">
        <v>532194</v>
      </c>
      <c r="Z55">
        <v>1</v>
      </c>
      <c r="AA55" t="s">
        <v>34</v>
      </c>
      <c r="AB55" t="s">
        <v>35</v>
      </c>
      <c r="AD55" t="s">
        <v>36</v>
      </c>
      <c r="AE55">
        <v>60.257044507597698</v>
      </c>
      <c r="AF55" t="s">
        <v>37</v>
      </c>
    </row>
    <row r="56" spans="1:32" x14ac:dyDescent="0.35">
      <c r="A56">
        <v>54</v>
      </c>
      <c r="B56">
        <v>0</v>
      </c>
      <c r="C56">
        <v>54</v>
      </c>
      <c r="D56" t="s">
        <v>32</v>
      </c>
      <c r="E56">
        <v>1</v>
      </c>
      <c r="F56">
        <v>0.513287599897012</v>
      </c>
      <c r="G56" t="s">
        <v>33</v>
      </c>
      <c r="H56">
        <v>0</v>
      </c>
      <c r="I56">
        <v>54</v>
      </c>
      <c r="J56">
        <v>0</v>
      </c>
      <c r="K56">
        <v>54</v>
      </c>
      <c r="L56">
        <v>0</v>
      </c>
      <c r="M56">
        <v>84.854147200006906</v>
      </c>
      <c r="O56">
        <v>84.839080100064095</v>
      </c>
      <c r="P56">
        <v>84.854147200006906</v>
      </c>
      <c r="Q56">
        <v>85.852915600058594</v>
      </c>
      <c r="R56">
        <v>85.852915600058594</v>
      </c>
      <c r="S56">
        <v>86.370264700031797</v>
      </c>
      <c r="T56" t="s">
        <v>32</v>
      </c>
      <c r="U56">
        <v>1</v>
      </c>
      <c r="V56">
        <v>0.513287599897012</v>
      </c>
      <c r="W56" t="s">
        <v>33</v>
      </c>
      <c r="X56">
        <v>0</v>
      </c>
      <c r="Y56">
        <v>532194</v>
      </c>
      <c r="Z56">
        <v>1</v>
      </c>
      <c r="AA56" t="s">
        <v>34</v>
      </c>
      <c r="AB56" t="s">
        <v>35</v>
      </c>
      <c r="AD56" t="s">
        <v>36</v>
      </c>
      <c r="AE56">
        <v>60.257044507597698</v>
      </c>
      <c r="AF56" t="s">
        <v>37</v>
      </c>
    </row>
    <row r="57" spans="1:32" x14ac:dyDescent="0.35">
      <c r="A57">
        <v>55</v>
      </c>
      <c r="B57">
        <v>0</v>
      </c>
      <c r="C57">
        <v>55</v>
      </c>
      <c r="D57" t="s">
        <v>32</v>
      </c>
      <c r="E57">
        <v>1</v>
      </c>
      <c r="F57">
        <v>0.37983140000142102</v>
      </c>
      <c r="G57" t="s">
        <v>33</v>
      </c>
      <c r="H57">
        <v>0</v>
      </c>
      <c r="I57">
        <v>55</v>
      </c>
      <c r="J57">
        <v>0</v>
      </c>
      <c r="K57">
        <v>55</v>
      </c>
      <c r="L57">
        <v>0</v>
      </c>
      <c r="M57">
        <v>86.385827800026107</v>
      </c>
      <c r="O57">
        <v>86.370636300067403</v>
      </c>
      <c r="P57">
        <v>86.385827800026107</v>
      </c>
      <c r="Q57">
        <v>87.369646499981101</v>
      </c>
      <c r="R57">
        <v>87.386889200075501</v>
      </c>
      <c r="S57">
        <v>87.753028000006395</v>
      </c>
      <c r="T57" t="s">
        <v>32</v>
      </c>
      <c r="U57">
        <v>1</v>
      </c>
      <c r="V57">
        <v>0.37983140000142102</v>
      </c>
      <c r="W57" t="s">
        <v>33</v>
      </c>
      <c r="X57">
        <v>0</v>
      </c>
      <c r="Y57">
        <v>532194</v>
      </c>
      <c r="Z57">
        <v>1</v>
      </c>
      <c r="AA57" t="s">
        <v>34</v>
      </c>
      <c r="AB57" t="s">
        <v>35</v>
      </c>
      <c r="AD57" t="s">
        <v>36</v>
      </c>
      <c r="AE57">
        <v>60.257044507597698</v>
      </c>
      <c r="AF57" t="s">
        <v>37</v>
      </c>
    </row>
    <row r="58" spans="1:32" x14ac:dyDescent="0.35">
      <c r="A58">
        <v>56</v>
      </c>
      <c r="B58">
        <v>0</v>
      </c>
      <c r="C58">
        <v>56</v>
      </c>
      <c r="D58" t="s">
        <v>32</v>
      </c>
      <c r="E58">
        <v>0</v>
      </c>
      <c r="F58">
        <v>0.35044219996780102</v>
      </c>
      <c r="G58" t="s">
        <v>33</v>
      </c>
      <c r="H58">
        <v>3</v>
      </c>
      <c r="I58">
        <v>56</v>
      </c>
      <c r="J58">
        <v>0</v>
      </c>
      <c r="K58">
        <v>56</v>
      </c>
      <c r="L58">
        <v>0</v>
      </c>
      <c r="M58">
        <v>87.7695843999972</v>
      </c>
      <c r="O58">
        <v>87.753433700068797</v>
      </c>
      <c r="P58">
        <v>87.7695843999972</v>
      </c>
      <c r="Q58">
        <v>88.752684000064605</v>
      </c>
      <c r="R58">
        <v>88.769238000037106</v>
      </c>
      <c r="S58">
        <v>89.104315000004107</v>
      </c>
      <c r="T58" t="s">
        <v>32</v>
      </c>
      <c r="U58">
        <v>0</v>
      </c>
      <c r="V58">
        <v>0.35044219996780102</v>
      </c>
      <c r="W58" t="s">
        <v>33</v>
      </c>
      <c r="X58">
        <v>3</v>
      </c>
      <c r="Y58">
        <v>532194</v>
      </c>
      <c r="Z58">
        <v>1</v>
      </c>
      <c r="AA58" t="s">
        <v>34</v>
      </c>
      <c r="AB58" t="s">
        <v>35</v>
      </c>
      <c r="AD58" t="s">
        <v>36</v>
      </c>
      <c r="AE58">
        <v>60.257044507597698</v>
      </c>
      <c r="AF58" t="s">
        <v>37</v>
      </c>
    </row>
    <row r="59" spans="1:32" x14ac:dyDescent="0.35">
      <c r="A59">
        <v>57</v>
      </c>
      <c r="B59">
        <v>0</v>
      </c>
      <c r="C59">
        <v>57</v>
      </c>
      <c r="D59" t="s">
        <v>38</v>
      </c>
      <c r="E59">
        <v>1</v>
      </c>
      <c r="F59">
        <v>0.73443369998130903</v>
      </c>
      <c r="G59" t="s">
        <v>33</v>
      </c>
      <c r="H59">
        <v>-5</v>
      </c>
      <c r="I59">
        <v>57</v>
      </c>
      <c r="J59">
        <v>0</v>
      </c>
      <c r="K59">
        <v>57</v>
      </c>
      <c r="L59">
        <v>0</v>
      </c>
      <c r="M59">
        <v>89.119104500044998</v>
      </c>
      <c r="O59">
        <v>89.104801999987103</v>
      </c>
      <c r="P59">
        <v>89.119104500044998</v>
      </c>
      <c r="Q59">
        <v>90.119868000037897</v>
      </c>
      <c r="R59">
        <v>90.119868000037897</v>
      </c>
      <c r="S59">
        <v>90.869391800020793</v>
      </c>
      <c r="T59" t="s">
        <v>38</v>
      </c>
      <c r="U59">
        <v>1</v>
      </c>
      <c r="V59">
        <v>0.73443369998130903</v>
      </c>
      <c r="W59" t="s">
        <v>33</v>
      </c>
      <c r="X59">
        <v>-5</v>
      </c>
      <c r="Y59">
        <v>532194</v>
      </c>
      <c r="Z59">
        <v>1</v>
      </c>
      <c r="AA59" t="s">
        <v>34</v>
      </c>
      <c r="AB59" t="s">
        <v>35</v>
      </c>
      <c r="AD59" t="s">
        <v>36</v>
      </c>
      <c r="AE59">
        <v>60.257044507597698</v>
      </c>
      <c r="AF59" t="s">
        <v>37</v>
      </c>
    </row>
    <row r="60" spans="1:32" x14ac:dyDescent="0.35">
      <c r="A60">
        <v>58</v>
      </c>
      <c r="B60">
        <v>0</v>
      </c>
      <c r="C60">
        <v>58</v>
      </c>
      <c r="D60" t="s">
        <v>38</v>
      </c>
      <c r="E60">
        <v>0</v>
      </c>
      <c r="F60">
        <v>0.34271190001163598</v>
      </c>
      <c r="G60" t="s">
        <v>33</v>
      </c>
      <c r="H60">
        <v>0</v>
      </c>
      <c r="I60">
        <v>58</v>
      </c>
      <c r="J60">
        <v>0</v>
      </c>
      <c r="K60">
        <v>58</v>
      </c>
      <c r="L60">
        <v>0</v>
      </c>
      <c r="M60">
        <v>90.885192400077301</v>
      </c>
      <c r="O60">
        <v>90.869810800067995</v>
      </c>
      <c r="P60">
        <v>90.885192400077301</v>
      </c>
      <c r="Q60">
        <v>91.869373499997806</v>
      </c>
      <c r="R60">
        <v>91.8851379000116</v>
      </c>
      <c r="S60">
        <v>92.2188828999642</v>
      </c>
      <c r="T60" t="s">
        <v>38</v>
      </c>
      <c r="U60">
        <v>0</v>
      </c>
      <c r="V60">
        <v>0.34271190001163598</v>
      </c>
      <c r="W60" t="s">
        <v>33</v>
      </c>
      <c r="X60">
        <v>0</v>
      </c>
      <c r="Y60">
        <v>532194</v>
      </c>
      <c r="Z60">
        <v>1</v>
      </c>
      <c r="AA60" t="s">
        <v>34</v>
      </c>
      <c r="AB60" t="s">
        <v>35</v>
      </c>
      <c r="AD60" t="s">
        <v>36</v>
      </c>
      <c r="AE60">
        <v>60.257044507597698</v>
      </c>
      <c r="AF60" t="s">
        <v>37</v>
      </c>
    </row>
    <row r="61" spans="1:32" x14ac:dyDescent="0.35">
      <c r="A61">
        <v>59</v>
      </c>
      <c r="B61">
        <v>0</v>
      </c>
      <c r="C61">
        <v>59</v>
      </c>
      <c r="D61" t="s">
        <v>38</v>
      </c>
      <c r="E61">
        <v>1</v>
      </c>
      <c r="F61">
        <v>0.40473820001352501</v>
      </c>
      <c r="G61" t="s">
        <v>33</v>
      </c>
      <c r="H61">
        <v>-4</v>
      </c>
      <c r="I61">
        <v>59</v>
      </c>
      <c r="J61">
        <v>0</v>
      </c>
      <c r="K61">
        <v>59</v>
      </c>
      <c r="L61">
        <v>0</v>
      </c>
      <c r="M61">
        <v>92.2350222000386</v>
      </c>
      <c r="O61">
        <v>92.219290500041097</v>
      </c>
      <c r="P61">
        <v>92.2350222000386</v>
      </c>
      <c r="Q61">
        <v>93.219056100002405</v>
      </c>
      <c r="R61">
        <v>93.235205400036605</v>
      </c>
      <c r="S61">
        <v>93.635818800074006</v>
      </c>
      <c r="T61" t="s">
        <v>38</v>
      </c>
      <c r="U61">
        <v>1</v>
      </c>
      <c r="V61">
        <v>0.40473820001352501</v>
      </c>
      <c r="W61" t="s">
        <v>33</v>
      </c>
      <c r="X61">
        <v>-4</v>
      </c>
      <c r="Y61">
        <v>532194</v>
      </c>
      <c r="Z61">
        <v>1</v>
      </c>
      <c r="AA61" t="s">
        <v>34</v>
      </c>
      <c r="AB61" t="s">
        <v>35</v>
      </c>
      <c r="AD61" t="s">
        <v>36</v>
      </c>
      <c r="AE61">
        <v>60.257044507597698</v>
      </c>
      <c r="AF61" t="s">
        <v>37</v>
      </c>
    </row>
    <row r="62" spans="1:32" x14ac:dyDescent="0.35">
      <c r="A62">
        <v>60</v>
      </c>
      <c r="B62">
        <v>0</v>
      </c>
      <c r="C62">
        <v>60</v>
      </c>
      <c r="D62" t="s">
        <v>32</v>
      </c>
      <c r="E62">
        <v>1</v>
      </c>
      <c r="F62">
        <v>0.307172299944795</v>
      </c>
      <c r="G62" t="s">
        <v>33</v>
      </c>
      <c r="H62">
        <v>0</v>
      </c>
      <c r="I62">
        <v>60</v>
      </c>
      <c r="J62">
        <v>0</v>
      </c>
      <c r="K62">
        <v>60</v>
      </c>
      <c r="L62">
        <v>0</v>
      </c>
      <c r="M62">
        <v>93.651490999967706</v>
      </c>
      <c r="O62">
        <v>93.636212200042706</v>
      </c>
      <c r="P62">
        <v>93.651490999967706</v>
      </c>
      <c r="Q62">
        <v>94.651706999982693</v>
      </c>
      <c r="R62">
        <v>94.651706999982693</v>
      </c>
      <c r="S62">
        <v>94.969456800026805</v>
      </c>
      <c r="T62" t="s">
        <v>32</v>
      </c>
      <c r="U62">
        <v>1</v>
      </c>
      <c r="V62">
        <v>0.307172299944795</v>
      </c>
      <c r="W62" t="s">
        <v>33</v>
      </c>
      <c r="X62">
        <v>0</v>
      </c>
      <c r="Y62">
        <v>532194</v>
      </c>
      <c r="Z62">
        <v>1</v>
      </c>
      <c r="AA62" t="s">
        <v>34</v>
      </c>
      <c r="AB62" t="s">
        <v>35</v>
      </c>
      <c r="AD62" t="s">
        <v>36</v>
      </c>
      <c r="AE62">
        <v>60.257044507597698</v>
      </c>
      <c r="AF62" t="s">
        <v>37</v>
      </c>
    </row>
    <row r="63" spans="1:32" x14ac:dyDescent="0.35">
      <c r="A63">
        <v>61</v>
      </c>
      <c r="B63">
        <v>0</v>
      </c>
      <c r="C63">
        <v>61</v>
      </c>
      <c r="D63" t="s">
        <v>32</v>
      </c>
      <c r="E63">
        <v>1</v>
      </c>
      <c r="F63">
        <v>0.41458580002654299</v>
      </c>
      <c r="G63" t="s">
        <v>33</v>
      </c>
      <c r="H63">
        <v>0</v>
      </c>
      <c r="I63">
        <v>61</v>
      </c>
      <c r="J63">
        <v>0</v>
      </c>
      <c r="K63">
        <v>61</v>
      </c>
      <c r="L63">
        <v>0</v>
      </c>
      <c r="M63">
        <v>94.984704700065706</v>
      </c>
      <c r="O63">
        <v>94.969863599981096</v>
      </c>
      <c r="P63">
        <v>94.984704700065706</v>
      </c>
      <c r="Q63">
        <v>95.972991200047503</v>
      </c>
      <c r="R63">
        <v>95.985723300022002</v>
      </c>
      <c r="S63">
        <v>96.401412200066204</v>
      </c>
      <c r="T63" t="s">
        <v>32</v>
      </c>
      <c r="U63">
        <v>1</v>
      </c>
      <c r="V63">
        <v>0.41458580002654299</v>
      </c>
      <c r="W63" t="s">
        <v>33</v>
      </c>
      <c r="X63">
        <v>0</v>
      </c>
      <c r="Y63">
        <v>532194</v>
      </c>
      <c r="Z63">
        <v>1</v>
      </c>
      <c r="AA63" t="s">
        <v>34</v>
      </c>
      <c r="AB63" t="s">
        <v>35</v>
      </c>
      <c r="AD63" t="s">
        <v>36</v>
      </c>
      <c r="AE63">
        <v>60.257044507597698</v>
      </c>
      <c r="AF63" t="s">
        <v>37</v>
      </c>
    </row>
    <row r="64" spans="1:32" x14ac:dyDescent="0.35">
      <c r="A64">
        <v>62</v>
      </c>
      <c r="B64">
        <v>0</v>
      </c>
      <c r="C64">
        <v>62</v>
      </c>
      <c r="D64" t="s">
        <v>32</v>
      </c>
      <c r="E64">
        <v>1</v>
      </c>
      <c r="F64">
        <v>0.22489969991147499</v>
      </c>
      <c r="G64" t="s">
        <v>33</v>
      </c>
      <c r="H64">
        <v>0</v>
      </c>
      <c r="I64">
        <v>62</v>
      </c>
      <c r="J64">
        <v>0</v>
      </c>
      <c r="K64">
        <v>62</v>
      </c>
      <c r="L64">
        <v>0</v>
      </c>
      <c r="M64">
        <v>96.417910300078802</v>
      </c>
      <c r="O64">
        <v>96.401788400020394</v>
      </c>
      <c r="P64">
        <v>96.417910300078802</v>
      </c>
      <c r="Q64">
        <v>97.400981000042506</v>
      </c>
      <c r="R64">
        <v>97.418183900066595</v>
      </c>
      <c r="S64">
        <v>97.635275400010798</v>
      </c>
      <c r="T64" t="s">
        <v>32</v>
      </c>
      <c r="U64">
        <v>1</v>
      </c>
      <c r="V64">
        <v>0.22489969991147499</v>
      </c>
      <c r="W64" t="s">
        <v>33</v>
      </c>
      <c r="X64">
        <v>0</v>
      </c>
      <c r="Y64">
        <v>532194</v>
      </c>
      <c r="Z64">
        <v>1</v>
      </c>
      <c r="AA64" t="s">
        <v>34</v>
      </c>
      <c r="AB64" t="s">
        <v>35</v>
      </c>
      <c r="AD64" t="s">
        <v>36</v>
      </c>
      <c r="AE64">
        <v>60.257044507597698</v>
      </c>
      <c r="AF64" t="s">
        <v>37</v>
      </c>
    </row>
    <row r="65" spans="1:32" x14ac:dyDescent="0.35">
      <c r="A65">
        <v>63</v>
      </c>
      <c r="B65">
        <v>0</v>
      </c>
      <c r="C65">
        <v>63</v>
      </c>
      <c r="D65" t="s">
        <v>32</v>
      </c>
      <c r="E65">
        <v>0</v>
      </c>
      <c r="F65">
        <v>0.15203080000355801</v>
      </c>
      <c r="G65" t="s">
        <v>33</v>
      </c>
      <c r="H65">
        <v>-3</v>
      </c>
      <c r="I65">
        <v>63</v>
      </c>
      <c r="J65">
        <v>0</v>
      </c>
      <c r="K65">
        <v>63</v>
      </c>
      <c r="L65">
        <v>0</v>
      </c>
      <c r="M65">
        <v>97.650727099971803</v>
      </c>
      <c r="O65">
        <v>97.635714599979096</v>
      </c>
      <c r="P65">
        <v>97.650727099971803</v>
      </c>
      <c r="Q65">
        <v>98.635252800071598</v>
      </c>
      <c r="R65">
        <v>98.652652399963699</v>
      </c>
      <c r="S65">
        <v>98.801986700040203</v>
      </c>
      <c r="T65" t="s">
        <v>32</v>
      </c>
      <c r="U65">
        <v>0</v>
      </c>
      <c r="V65">
        <v>0.15203080000355801</v>
      </c>
      <c r="W65" t="s">
        <v>33</v>
      </c>
      <c r="X65">
        <v>-3</v>
      </c>
      <c r="Y65">
        <v>532194</v>
      </c>
      <c r="Z65">
        <v>1</v>
      </c>
      <c r="AA65" t="s">
        <v>34</v>
      </c>
      <c r="AB65" t="s">
        <v>35</v>
      </c>
      <c r="AD65" t="s">
        <v>36</v>
      </c>
      <c r="AE65">
        <v>60.257044507597698</v>
      </c>
      <c r="AF65" t="s">
        <v>37</v>
      </c>
    </row>
    <row r="66" spans="1:32" x14ac:dyDescent="0.35">
      <c r="A66">
        <v>64</v>
      </c>
      <c r="B66">
        <v>0</v>
      </c>
      <c r="C66">
        <v>64</v>
      </c>
      <c r="D66" t="s">
        <v>32</v>
      </c>
      <c r="E66">
        <v>0</v>
      </c>
      <c r="F66">
        <v>0.55780409998260405</v>
      </c>
      <c r="G66" t="s">
        <v>33</v>
      </c>
      <c r="H66">
        <v>-3</v>
      </c>
      <c r="I66">
        <v>64</v>
      </c>
      <c r="J66">
        <v>0</v>
      </c>
      <c r="K66">
        <v>64</v>
      </c>
      <c r="L66">
        <v>0</v>
      </c>
      <c r="M66">
        <v>98.818046599975702</v>
      </c>
      <c r="O66">
        <v>98.802549100015298</v>
      </c>
      <c r="P66">
        <v>98.818046599975702</v>
      </c>
      <c r="Q66">
        <v>99.818382099969298</v>
      </c>
      <c r="R66">
        <v>99.818382099969298</v>
      </c>
      <c r="S66">
        <v>100.384545100037</v>
      </c>
      <c r="T66" t="s">
        <v>32</v>
      </c>
      <c r="U66">
        <v>0</v>
      </c>
      <c r="V66">
        <v>0.55780409998260405</v>
      </c>
      <c r="W66" t="s">
        <v>33</v>
      </c>
      <c r="X66">
        <v>-3</v>
      </c>
      <c r="Y66">
        <v>532194</v>
      </c>
      <c r="Z66">
        <v>1</v>
      </c>
      <c r="AA66" t="s">
        <v>34</v>
      </c>
      <c r="AB66" t="s">
        <v>35</v>
      </c>
      <c r="AD66" t="s">
        <v>36</v>
      </c>
      <c r="AE66">
        <v>60.257044507597698</v>
      </c>
      <c r="AF66" t="s">
        <v>37</v>
      </c>
    </row>
    <row r="67" spans="1:32" x14ac:dyDescent="0.35">
      <c r="A67">
        <v>65</v>
      </c>
      <c r="B67">
        <v>0</v>
      </c>
      <c r="C67">
        <v>65</v>
      </c>
      <c r="D67" t="s">
        <v>38</v>
      </c>
      <c r="E67">
        <v>1</v>
      </c>
      <c r="F67">
        <v>0.47980890003964299</v>
      </c>
      <c r="G67" t="s">
        <v>33</v>
      </c>
      <c r="H67">
        <v>-2</v>
      </c>
      <c r="I67">
        <v>65</v>
      </c>
      <c r="J67">
        <v>0</v>
      </c>
      <c r="K67">
        <v>65</v>
      </c>
      <c r="L67">
        <v>0</v>
      </c>
      <c r="M67">
        <v>100.40059990005101</v>
      </c>
      <c r="O67">
        <v>100.385047100018</v>
      </c>
      <c r="P67">
        <v>100.40059990005101</v>
      </c>
      <c r="Q67">
        <v>101.401651200023</v>
      </c>
      <c r="R67">
        <v>101.401651200023</v>
      </c>
      <c r="S67">
        <v>101.88525609998</v>
      </c>
      <c r="T67" t="s">
        <v>38</v>
      </c>
      <c r="U67">
        <v>1</v>
      </c>
      <c r="V67">
        <v>0.47980890003964299</v>
      </c>
      <c r="W67" t="s">
        <v>33</v>
      </c>
      <c r="X67">
        <v>-2</v>
      </c>
      <c r="Y67">
        <v>532194</v>
      </c>
      <c r="Z67">
        <v>1</v>
      </c>
      <c r="AA67" t="s">
        <v>34</v>
      </c>
      <c r="AB67" t="s">
        <v>35</v>
      </c>
      <c r="AD67" t="s">
        <v>36</v>
      </c>
      <c r="AE67">
        <v>60.257044507597698</v>
      </c>
      <c r="AF67" t="s">
        <v>37</v>
      </c>
    </row>
    <row r="68" spans="1:32" x14ac:dyDescent="0.35">
      <c r="A68">
        <v>66</v>
      </c>
      <c r="B68">
        <v>0</v>
      </c>
      <c r="C68">
        <v>66</v>
      </c>
      <c r="D68" t="s">
        <v>38</v>
      </c>
      <c r="E68">
        <v>1</v>
      </c>
      <c r="F68">
        <v>0.44754710001870901</v>
      </c>
      <c r="G68" t="s">
        <v>33</v>
      </c>
      <c r="H68">
        <v>1</v>
      </c>
      <c r="I68">
        <v>66</v>
      </c>
      <c r="J68">
        <v>0</v>
      </c>
      <c r="K68">
        <v>66</v>
      </c>
      <c r="L68">
        <v>0</v>
      </c>
      <c r="M68">
        <v>101.90152349998201</v>
      </c>
      <c r="O68">
        <v>101.88588590000199</v>
      </c>
      <c r="P68">
        <v>101.90152349998201</v>
      </c>
      <c r="Q68">
        <v>102.902663200045</v>
      </c>
      <c r="R68">
        <v>102.902663200045</v>
      </c>
      <c r="S68">
        <v>103.352751299971</v>
      </c>
      <c r="T68" t="s">
        <v>38</v>
      </c>
      <c r="U68">
        <v>1</v>
      </c>
      <c r="V68">
        <v>0.44754710001870901</v>
      </c>
      <c r="W68" t="s">
        <v>33</v>
      </c>
      <c r="X68">
        <v>1</v>
      </c>
      <c r="Y68">
        <v>532194</v>
      </c>
      <c r="Z68">
        <v>1</v>
      </c>
      <c r="AA68" t="s">
        <v>34</v>
      </c>
      <c r="AB68" t="s">
        <v>35</v>
      </c>
      <c r="AD68" t="s">
        <v>36</v>
      </c>
      <c r="AE68">
        <v>60.257044507597698</v>
      </c>
      <c r="AF68" t="s">
        <v>37</v>
      </c>
    </row>
    <row r="69" spans="1:32" x14ac:dyDescent="0.35">
      <c r="A69">
        <v>67</v>
      </c>
      <c r="B69">
        <v>0</v>
      </c>
      <c r="C69">
        <v>67</v>
      </c>
      <c r="D69" t="s">
        <v>32</v>
      </c>
      <c r="E69">
        <v>1</v>
      </c>
      <c r="F69">
        <v>0.380514399963431</v>
      </c>
      <c r="G69" t="s">
        <v>33</v>
      </c>
      <c r="H69">
        <v>0</v>
      </c>
      <c r="I69">
        <v>67</v>
      </c>
      <c r="J69">
        <v>0</v>
      </c>
      <c r="K69">
        <v>67</v>
      </c>
      <c r="L69">
        <v>0</v>
      </c>
      <c r="M69">
        <v>103.368230600026</v>
      </c>
      <c r="O69">
        <v>103.353446300025</v>
      </c>
      <c r="P69">
        <v>103.368230600026</v>
      </c>
      <c r="Q69">
        <v>104.384467000025</v>
      </c>
      <c r="R69">
        <v>104.384467000025</v>
      </c>
      <c r="S69">
        <v>104.76902230002401</v>
      </c>
      <c r="T69" t="s">
        <v>32</v>
      </c>
      <c r="U69">
        <v>1</v>
      </c>
      <c r="V69">
        <v>0.380514399963431</v>
      </c>
      <c r="W69" t="s">
        <v>33</v>
      </c>
      <c r="X69">
        <v>0</v>
      </c>
      <c r="Y69">
        <v>532194</v>
      </c>
      <c r="Z69">
        <v>1</v>
      </c>
      <c r="AA69" t="s">
        <v>34</v>
      </c>
      <c r="AB69" t="s">
        <v>35</v>
      </c>
      <c r="AD69" t="s">
        <v>36</v>
      </c>
      <c r="AE69">
        <v>60.257044507597698</v>
      </c>
      <c r="AF69" t="s">
        <v>37</v>
      </c>
    </row>
    <row r="70" spans="1:32" x14ac:dyDescent="0.35">
      <c r="A70">
        <v>68</v>
      </c>
      <c r="B70">
        <v>0</v>
      </c>
      <c r="C70">
        <v>68</v>
      </c>
      <c r="D70" t="s">
        <v>32</v>
      </c>
      <c r="E70">
        <v>1</v>
      </c>
      <c r="F70">
        <v>0.64012100000400096</v>
      </c>
      <c r="G70" t="s">
        <v>33</v>
      </c>
      <c r="H70">
        <v>0</v>
      </c>
      <c r="I70">
        <v>68</v>
      </c>
      <c r="J70">
        <v>0</v>
      </c>
      <c r="K70">
        <v>68</v>
      </c>
      <c r="L70">
        <v>0</v>
      </c>
      <c r="M70">
        <v>104.784512700047</v>
      </c>
      <c r="O70">
        <v>104.76960480003601</v>
      </c>
      <c r="P70">
        <v>104.784512700047</v>
      </c>
      <c r="Q70">
        <v>105.78411560005</v>
      </c>
      <c r="R70">
        <v>105.80155910004299</v>
      </c>
      <c r="S70">
        <v>106.434957599965</v>
      </c>
      <c r="T70" t="s">
        <v>32</v>
      </c>
      <c r="U70">
        <v>1</v>
      </c>
      <c r="V70">
        <v>0.64012100000400096</v>
      </c>
      <c r="W70" t="s">
        <v>33</v>
      </c>
      <c r="X70">
        <v>0</v>
      </c>
      <c r="Y70">
        <v>532194</v>
      </c>
      <c r="Z70">
        <v>1</v>
      </c>
      <c r="AA70" t="s">
        <v>34</v>
      </c>
      <c r="AB70" t="s">
        <v>35</v>
      </c>
      <c r="AD70" t="s">
        <v>36</v>
      </c>
      <c r="AE70">
        <v>60.257044507597698</v>
      </c>
      <c r="AF70" t="s">
        <v>37</v>
      </c>
    </row>
    <row r="71" spans="1:32" x14ac:dyDescent="0.35">
      <c r="A71">
        <v>69</v>
      </c>
      <c r="B71">
        <v>0</v>
      </c>
      <c r="C71">
        <v>69</v>
      </c>
      <c r="D71" t="s">
        <v>32</v>
      </c>
      <c r="E71">
        <v>0</v>
      </c>
      <c r="F71">
        <v>0.65878249995876104</v>
      </c>
      <c r="G71" t="s">
        <v>33</v>
      </c>
      <c r="H71">
        <v>2</v>
      </c>
      <c r="I71">
        <v>69</v>
      </c>
      <c r="J71">
        <v>0</v>
      </c>
      <c r="K71">
        <v>69</v>
      </c>
      <c r="L71">
        <v>0</v>
      </c>
      <c r="M71">
        <v>106.450408500037</v>
      </c>
      <c r="O71">
        <v>106.435639900038</v>
      </c>
      <c r="P71">
        <v>106.450408500037</v>
      </c>
      <c r="Q71">
        <v>107.450248299981</v>
      </c>
      <c r="R71">
        <v>107.450248299981</v>
      </c>
      <c r="S71">
        <v>108.118437399971</v>
      </c>
      <c r="T71" t="s">
        <v>32</v>
      </c>
      <c r="U71">
        <v>0</v>
      </c>
      <c r="V71">
        <v>0.65878249995876104</v>
      </c>
      <c r="W71" t="s">
        <v>33</v>
      </c>
      <c r="X71">
        <v>2</v>
      </c>
      <c r="Y71">
        <v>532194</v>
      </c>
      <c r="Z71">
        <v>1</v>
      </c>
      <c r="AA71" t="s">
        <v>34</v>
      </c>
      <c r="AB71" t="s">
        <v>35</v>
      </c>
      <c r="AD71" t="s">
        <v>36</v>
      </c>
      <c r="AE71">
        <v>60.257044507597698</v>
      </c>
      <c r="AF71" t="s">
        <v>37</v>
      </c>
    </row>
    <row r="72" spans="1:32" x14ac:dyDescent="0.35">
      <c r="A72">
        <v>70</v>
      </c>
      <c r="B72">
        <v>0</v>
      </c>
      <c r="C72">
        <v>70</v>
      </c>
      <c r="D72" t="s">
        <v>32</v>
      </c>
      <c r="E72">
        <v>0</v>
      </c>
      <c r="F72">
        <v>0.65421770000830204</v>
      </c>
      <c r="G72" t="s">
        <v>33</v>
      </c>
      <c r="H72">
        <v>3</v>
      </c>
      <c r="I72">
        <v>70</v>
      </c>
      <c r="J72">
        <v>0</v>
      </c>
      <c r="K72">
        <v>70</v>
      </c>
      <c r="L72">
        <v>0</v>
      </c>
      <c r="M72">
        <v>108.134351999964</v>
      </c>
      <c r="O72">
        <v>108.119238100014</v>
      </c>
      <c r="P72">
        <v>108.134351999964</v>
      </c>
      <c r="Q72">
        <v>109.13280490005801</v>
      </c>
      <c r="R72">
        <v>109.149435600033</v>
      </c>
      <c r="S72">
        <v>109.801599800004</v>
      </c>
      <c r="T72" t="s">
        <v>32</v>
      </c>
      <c r="U72">
        <v>0</v>
      </c>
      <c r="V72">
        <v>0.65421770000830204</v>
      </c>
      <c r="W72" t="s">
        <v>33</v>
      </c>
      <c r="X72">
        <v>3</v>
      </c>
      <c r="Y72">
        <v>532194</v>
      </c>
      <c r="Z72">
        <v>1</v>
      </c>
      <c r="AA72" t="s">
        <v>34</v>
      </c>
      <c r="AB72" t="s">
        <v>35</v>
      </c>
      <c r="AD72" t="s">
        <v>36</v>
      </c>
      <c r="AE72">
        <v>60.257044507597698</v>
      </c>
      <c r="AF72" t="s">
        <v>37</v>
      </c>
    </row>
    <row r="73" spans="1:32" x14ac:dyDescent="0.35">
      <c r="A73">
        <v>71</v>
      </c>
      <c r="B73">
        <v>0</v>
      </c>
      <c r="C73">
        <v>71</v>
      </c>
      <c r="D73" t="s">
        <v>32</v>
      </c>
      <c r="E73">
        <v>1</v>
      </c>
      <c r="F73">
        <v>1.0371402000309899</v>
      </c>
      <c r="G73" t="s">
        <v>33</v>
      </c>
      <c r="H73">
        <v>0</v>
      </c>
      <c r="I73">
        <v>71</v>
      </c>
      <c r="J73">
        <v>0</v>
      </c>
      <c r="K73">
        <v>71</v>
      </c>
      <c r="L73">
        <v>0</v>
      </c>
      <c r="M73">
        <v>109.816917799995</v>
      </c>
      <c r="O73">
        <v>109.802313799969</v>
      </c>
      <c r="P73">
        <v>109.816917799995</v>
      </c>
      <c r="Q73">
        <v>110.816490500001</v>
      </c>
      <c r="R73">
        <v>110.816490500001</v>
      </c>
      <c r="S73">
        <v>111.866157400072</v>
      </c>
      <c r="T73" t="s">
        <v>32</v>
      </c>
      <c r="U73">
        <v>1</v>
      </c>
      <c r="V73">
        <v>1.0371402000309899</v>
      </c>
      <c r="W73" t="s">
        <v>33</v>
      </c>
      <c r="X73">
        <v>0</v>
      </c>
      <c r="Y73">
        <v>532194</v>
      </c>
      <c r="Z73">
        <v>1</v>
      </c>
      <c r="AA73" t="s">
        <v>34</v>
      </c>
      <c r="AB73" t="s">
        <v>35</v>
      </c>
      <c r="AD73" t="s">
        <v>36</v>
      </c>
      <c r="AE73">
        <v>60.257044507597698</v>
      </c>
      <c r="AF73" t="s">
        <v>37</v>
      </c>
    </row>
    <row r="74" spans="1:32" x14ac:dyDescent="0.35">
      <c r="A74">
        <v>72</v>
      </c>
      <c r="B74">
        <v>0</v>
      </c>
      <c r="C74">
        <v>72</v>
      </c>
      <c r="D74" t="s">
        <v>32</v>
      </c>
      <c r="E74">
        <v>0</v>
      </c>
      <c r="F74">
        <v>0.317023499985225</v>
      </c>
      <c r="G74" t="s">
        <v>33</v>
      </c>
      <c r="H74">
        <v>-4</v>
      </c>
      <c r="I74">
        <v>72</v>
      </c>
      <c r="J74">
        <v>0</v>
      </c>
      <c r="K74">
        <v>72</v>
      </c>
      <c r="L74">
        <v>0</v>
      </c>
      <c r="M74">
        <v>111.881769199972</v>
      </c>
      <c r="O74">
        <v>111.866597300046</v>
      </c>
      <c r="P74">
        <v>111.881769199972</v>
      </c>
      <c r="Q74">
        <v>112.865743900067</v>
      </c>
      <c r="R74">
        <v>112.882047799997</v>
      </c>
      <c r="S74">
        <v>113.19936339999499</v>
      </c>
      <c r="T74" t="s">
        <v>32</v>
      </c>
      <c r="U74">
        <v>0</v>
      </c>
      <c r="V74">
        <v>0.317023499985225</v>
      </c>
      <c r="W74" t="s">
        <v>33</v>
      </c>
      <c r="X74">
        <v>-4</v>
      </c>
      <c r="Y74">
        <v>532194</v>
      </c>
      <c r="Z74">
        <v>1</v>
      </c>
      <c r="AA74" t="s">
        <v>34</v>
      </c>
      <c r="AB74" t="s">
        <v>35</v>
      </c>
      <c r="AD74" t="s">
        <v>36</v>
      </c>
      <c r="AE74">
        <v>60.257044507597698</v>
      </c>
      <c r="AF74" t="s">
        <v>37</v>
      </c>
    </row>
    <row r="75" spans="1:32" x14ac:dyDescent="0.35">
      <c r="A75">
        <v>73</v>
      </c>
      <c r="B75">
        <v>0</v>
      </c>
      <c r="C75">
        <v>73</v>
      </c>
      <c r="D75" t="s">
        <v>32</v>
      </c>
      <c r="E75">
        <v>1</v>
      </c>
      <c r="F75">
        <v>1.6448746999958499</v>
      </c>
      <c r="G75" t="s">
        <v>33</v>
      </c>
      <c r="H75">
        <v>0</v>
      </c>
      <c r="I75">
        <v>73</v>
      </c>
      <c r="J75">
        <v>0</v>
      </c>
      <c r="K75">
        <v>73</v>
      </c>
      <c r="L75">
        <v>0</v>
      </c>
      <c r="M75">
        <v>113.21476890007</v>
      </c>
      <c r="O75">
        <v>113.199824500014</v>
      </c>
      <c r="P75">
        <v>113.21476890007</v>
      </c>
      <c r="Q75">
        <v>114.198876600014</v>
      </c>
      <c r="R75">
        <v>114.215098800021</v>
      </c>
      <c r="S75">
        <v>115.84891659999199</v>
      </c>
      <c r="T75" t="s">
        <v>32</v>
      </c>
      <c r="U75">
        <v>1</v>
      </c>
      <c r="V75">
        <v>1.6448746999958499</v>
      </c>
      <c r="W75" t="s">
        <v>33</v>
      </c>
      <c r="X75">
        <v>0</v>
      </c>
      <c r="Y75">
        <v>532194</v>
      </c>
      <c r="Z75">
        <v>1</v>
      </c>
      <c r="AA75" t="s">
        <v>34</v>
      </c>
      <c r="AB75" t="s">
        <v>35</v>
      </c>
      <c r="AD75" t="s">
        <v>36</v>
      </c>
      <c r="AE75">
        <v>60.257044507597698</v>
      </c>
      <c r="AF75" t="s">
        <v>37</v>
      </c>
    </row>
    <row r="76" spans="1:32" x14ac:dyDescent="0.35">
      <c r="A76">
        <v>74</v>
      </c>
      <c r="B76">
        <v>0</v>
      </c>
      <c r="C76">
        <v>74</v>
      </c>
      <c r="D76" t="s">
        <v>32</v>
      </c>
      <c r="E76">
        <v>0</v>
      </c>
      <c r="F76">
        <v>0.65699629997834497</v>
      </c>
      <c r="G76" t="s">
        <v>33</v>
      </c>
      <c r="H76">
        <v>-2</v>
      </c>
      <c r="I76">
        <v>74</v>
      </c>
      <c r="J76">
        <v>0</v>
      </c>
      <c r="K76">
        <v>74</v>
      </c>
      <c r="L76">
        <v>0</v>
      </c>
      <c r="M76">
        <v>115.86543730005999</v>
      </c>
      <c r="O76">
        <v>115.84943160007199</v>
      </c>
      <c r="P76">
        <v>115.86543730005999</v>
      </c>
      <c r="Q76">
        <v>116.847475899965</v>
      </c>
      <c r="R76">
        <v>116.880719900014</v>
      </c>
      <c r="S76">
        <v>117.514788600034</v>
      </c>
      <c r="T76" t="s">
        <v>32</v>
      </c>
      <c r="U76">
        <v>0</v>
      </c>
      <c r="V76">
        <v>0.65699629997834497</v>
      </c>
      <c r="W76" t="s">
        <v>33</v>
      </c>
      <c r="X76">
        <v>-2</v>
      </c>
      <c r="Y76">
        <v>532194</v>
      </c>
      <c r="Z76">
        <v>1</v>
      </c>
      <c r="AA76" t="s">
        <v>34</v>
      </c>
      <c r="AB76" t="s">
        <v>35</v>
      </c>
      <c r="AD76" t="s">
        <v>36</v>
      </c>
      <c r="AE76">
        <v>60.257044507597698</v>
      </c>
      <c r="AF76" t="s">
        <v>37</v>
      </c>
    </row>
    <row r="77" spans="1:32" x14ac:dyDescent="0.35">
      <c r="A77">
        <v>75</v>
      </c>
      <c r="B77">
        <v>0</v>
      </c>
      <c r="C77">
        <v>75</v>
      </c>
      <c r="D77" t="s">
        <v>38</v>
      </c>
      <c r="E77">
        <v>1</v>
      </c>
      <c r="F77">
        <v>0.77345159999094903</v>
      </c>
      <c r="G77" t="s">
        <v>33</v>
      </c>
      <c r="H77">
        <v>-4</v>
      </c>
      <c r="I77">
        <v>75</v>
      </c>
      <c r="J77">
        <v>0</v>
      </c>
      <c r="K77">
        <v>75</v>
      </c>
      <c r="L77">
        <v>0</v>
      </c>
      <c r="M77">
        <v>117.53057469997999</v>
      </c>
      <c r="O77">
        <v>117.51528759999201</v>
      </c>
      <c r="P77">
        <v>117.53057469997999</v>
      </c>
      <c r="Q77">
        <v>118.514589000027</v>
      </c>
      <c r="R77">
        <v>118.531048399978</v>
      </c>
      <c r="S77">
        <v>119.298073900048</v>
      </c>
      <c r="T77" t="s">
        <v>38</v>
      </c>
      <c r="U77">
        <v>1</v>
      </c>
      <c r="V77">
        <v>0.77345159999094903</v>
      </c>
      <c r="W77" t="s">
        <v>33</v>
      </c>
      <c r="X77">
        <v>-4</v>
      </c>
      <c r="Y77">
        <v>532194</v>
      </c>
      <c r="Z77">
        <v>1</v>
      </c>
      <c r="AA77" t="s">
        <v>34</v>
      </c>
      <c r="AB77" t="s">
        <v>35</v>
      </c>
      <c r="AD77" t="s">
        <v>36</v>
      </c>
      <c r="AE77">
        <v>60.257044507597698</v>
      </c>
      <c r="AF77" t="s">
        <v>37</v>
      </c>
    </row>
    <row r="78" spans="1:32" x14ac:dyDescent="0.35">
      <c r="A78">
        <v>76</v>
      </c>
      <c r="B78">
        <v>0</v>
      </c>
      <c r="C78">
        <v>76</v>
      </c>
      <c r="D78" t="s">
        <v>38</v>
      </c>
      <c r="E78">
        <v>1</v>
      </c>
      <c r="F78">
        <v>0.80238040001131505</v>
      </c>
      <c r="G78" t="s">
        <v>33</v>
      </c>
      <c r="H78">
        <v>1</v>
      </c>
      <c r="I78">
        <v>76</v>
      </c>
      <c r="J78">
        <v>0</v>
      </c>
      <c r="K78">
        <v>76</v>
      </c>
      <c r="L78">
        <v>0</v>
      </c>
      <c r="M78">
        <v>119.313756200019</v>
      </c>
      <c r="O78">
        <v>119.298478599986</v>
      </c>
      <c r="P78">
        <v>119.313756200019</v>
      </c>
      <c r="Q78">
        <v>120.29794469999599</v>
      </c>
      <c r="R78">
        <v>120.313496300019</v>
      </c>
      <c r="S78">
        <v>121.113846700056</v>
      </c>
      <c r="T78" t="s">
        <v>38</v>
      </c>
      <c r="U78">
        <v>1</v>
      </c>
      <c r="V78">
        <v>0.80238040001131505</v>
      </c>
      <c r="W78" t="s">
        <v>33</v>
      </c>
      <c r="X78">
        <v>1</v>
      </c>
      <c r="Y78">
        <v>532194</v>
      </c>
      <c r="Z78">
        <v>1</v>
      </c>
      <c r="AA78" t="s">
        <v>34</v>
      </c>
      <c r="AB78" t="s">
        <v>35</v>
      </c>
      <c r="AD78" t="s">
        <v>36</v>
      </c>
      <c r="AE78">
        <v>60.257044507597698</v>
      </c>
      <c r="AF78" t="s">
        <v>37</v>
      </c>
    </row>
    <row r="79" spans="1:32" x14ac:dyDescent="0.35">
      <c r="A79">
        <v>77</v>
      </c>
      <c r="B79">
        <v>0</v>
      </c>
      <c r="C79">
        <v>77</v>
      </c>
      <c r="D79" t="s">
        <v>32</v>
      </c>
      <c r="E79">
        <v>0</v>
      </c>
      <c r="F79">
        <v>0.65980969998054195</v>
      </c>
      <c r="G79" t="s">
        <v>33</v>
      </c>
      <c r="H79">
        <v>-5</v>
      </c>
      <c r="I79">
        <v>77</v>
      </c>
      <c r="J79">
        <v>0</v>
      </c>
      <c r="K79">
        <v>77</v>
      </c>
      <c r="L79">
        <v>0</v>
      </c>
      <c r="M79">
        <v>121.13534210005299</v>
      </c>
      <c r="O79">
        <v>121.114280199981</v>
      </c>
      <c r="P79">
        <v>121.13534210005299</v>
      </c>
      <c r="Q79">
        <v>122.11369310005099</v>
      </c>
      <c r="R79">
        <v>122.146881900029</v>
      </c>
      <c r="S79">
        <v>122.78168949997</v>
      </c>
      <c r="T79" t="s">
        <v>32</v>
      </c>
      <c r="U79">
        <v>0</v>
      </c>
      <c r="V79">
        <v>0.65980969998054195</v>
      </c>
      <c r="W79" t="s">
        <v>33</v>
      </c>
      <c r="X79">
        <v>-5</v>
      </c>
      <c r="Y79">
        <v>532194</v>
      </c>
      <c r="Z79">
        <v>1</v>
      </c>
      <c r="AA79" t="s">
        <v>34</v>
      </c>
      <c r="AB79" t="s">
        <v>35</v>
      </c>
      <c r="AD79" t="s">
        <v>36</v>
      </c>
      <c r="AE79">
        <v>60.257044507597698</v>
      </c>
      <c r="AF79" t="s">
        <v>37</v>
      </c>
    </row>
    <row r="80" spans="1:32" x14ac:dyDescent="0.35">
      <c r="A80">
        <v>78</v>
      </c>
      <c r="B80">
        <v>0</v>
      </c>
      <c r="C80">
        <v>78</v>
      </c>
      <c r="D80" t="s">
        <v>32</v>
      </c>
      <c r="E80">
        <v>0</v>
      </c>
      <c r="F80">
        <v>0.59221460006665405</v>
      </c>
      <c r="G80" t="s">
        <v>33</v>
      </c>
      <c r="H80">
        <v>2</v>
      </c>
      <c r="I80">
        <v>78</v>
      </c>
      <c r="J80">
        <v>0</v>
      </c>
      <c r="K80">
        <v>78</v>
      </c>
      <c r="L80">
        <v>0</v>
      </c>
      <c r="M80">
        <v>122.797347999992</v>
      </c>
      <c r="O80">
        <v>122.78208470006901</v>
      </c>
      <c r="P80">
        <v>122.797347999992</v>
      </c>
      <c r="Q80">
        <v>123.796272000065</v>
      </c>
      <c r="R80">
        <v>123.796272000065</v>
      </c>
      <c r="S80">
        <v>124.39882100000899</v>
      </c>
      <c r="T80" t="s">
        <v>32</v>
      </c>
      <c r="U80">
        <v>0</v>
      </c>
      <c r="V80">
        <v>0.59221460006665405</v>
      </c>
      <c r="W80" t="s">
        <v>33</v>
      </c>
      <c r="X80">
        <v>2</v>
      </c>
      <c r="Y80">
        <v>532194</v>
      </c>
      <c r="Z80">
        <v>1</v>
      </c>
      <c r="AA80" t="s">
        <v>34</v>
      </c>
      <c r="AB80" t="s">
        <v>35</v>
      </c>
      <c r="AD80" t="s">
        <v>36</v>
      </c>
      <c r="AE80">
        <v>60.257044507597698</v>
      </c>
      <c r="AF80" t="s">
        <v>37</v>
      </c>
    </row>
    <row r="81" spans="1:32" x14ac:dyDescent="0.35">
      <c r="A81">
        <v>79</v>
      </c>
      <c r="B81">
        <v>0</v>
      </c>
      <c r="C81">
        <v>79</v>
      </c>
      <c r="D81" t="s">
        <v>32</v>
      </c>
      <c r="E81">
        <v>0</v>
      </c>
      <c r="F81">
        <v>0.74342309997882605</v>
      </c>
      <c r="G81" t="s">
        <v>33</v>
      </c>
      <c r="H81">
        <v>-4</v>
      </c>
      <c r="I81">
        <v>79</v>
      </c>
      <c r="J81">
        <v>0</v>
      </c>
      <c r="K81">
        <v>79</v>
      </c>
      <c r="L81">
        <v>0</v>
      </c>
      <c r="M81">
        <v>124.413642100058</v>
      </c>
      <c r="O81">
        <v>124.39935059996699</v>
      </c>
      <c r="P81">
        <v>124.413642100058</v>
      </c>
      <c r="Q81">
        <v>125.41383740003199</v>
      </c>
      <c r="R81">
        <v>125.41383740003199</v>
      </c>
      <c r="S81">
        <v>126.163649199996</v>
      </c>
      <c r="T81" t="s">
        <v>32</v>
      </c>
      <c r="U81">
        <v>0</v>
      </c>
      <c r="V81">
        <v>0.74342309997882605</v>
      </c>
      <c r="W81" t="s">
        <v>33</v>
      </c>
      <c r="X81">
        <v>-4</v>
      </c>
      <c r="Y81">
        <v>532194</v>
      </c>
      <c r="Z81">
        <v>1</v>
      </c>
      <c r="AA81" t="s">
        <v>34</v>
      </c>
      <c r="AB81" t="s">
        <v>35</v>
      </c>
      <c r="AD81" t="s">
        <v>36</v>
      </c>
      <c r="AE81">
        <v>60.257044507597698</v>
      </c>
      <c r="AF81" t="s">
        <v>37</v>
      </c>
    </row>
    <row r="82" spans="1:32" x14ac:dyDescent="0.35">
      <c r="A82">
        <v>80</v>
      </c>
      <c r="B82">
        <v>0</v>
      </c>
      <c r="C82">
        <v>80</v>
      </c>
      <c r="D82" t="s">
        <v>38</v>
      </c>
      <c r="E82">
        <v>0</v>
      </c>
      <c r="F82">
        <v>0.90594540000893098</v>
      </c>
      <c r="G82" t="s">
        <v>33</v>
      </c>
      <c r="H82">
        <v>0</v>
      </c>
      <c r="I82">
        <v>80</v>
      </c>
      <c r="J82">
        <v>0</v>
      </c>
      <c r="K82">
        <v>80</v>
      </c>
      <c r="L82">
        <v>0</v>
      </c>
      <c r="M82">
        <v>126.17999330000001</v>
      </c>
      <c r="O82">
        <v>126.164099600049</v>
      </c>
      <c r="P82">
        <v>126.17999330000001</v>
      </c>
      <c r="Q82">
        <v>127.163069300004</v>
      </c>
      <c r="R82">
        <v>127.179696100065</v>
      </c>
      <c r="S82">
        <v>128.07975600007899</v>
      </c>
      <c r="T82" t="s">
        <v>38</v>
      </c>
      <c r="U82">
        <v>0</v>
      </c>
      <c r="V82">
        <v>0.90594540000893098</v>
      </c>
      <c r="W82" t="s">
        <v>33</v>
      </c>
      <c r="X82">
        <v>0</v>
      </c>
      <c r="Y82">
        <v>532194</v>
      </c>
      <c r="Z82">
        <v>1</v>
      </c>
      <c r="AA82" t="s">
        <v>34</v>
      </c>
      <c r="AB82" t="s">
        <v>35</v>
      </c>
      <c r="AD82" t="s">
        <v>36</v>
      </c>
      <c r="AE82">
        <v>60.257044507597698</v>
      </c>
      <c r="AF82" t="s">
        <v>37</v>
      </c>
    </row>
    <row r="83" spans="1:32" x14ac:dyDescent="0.35">
      <c r="A83">
        <v>81</v>
      </c>
      <c r="B83">
        <v>0</v>
      </c>
      <c r="C83">
        <v>81</v>
      </c>
      <c r="D83" t="s">
        <v>38</v>
      </c>
      <c r="E83">
        <v>1</v>
      </c>
      <c r="F83">
        <v>0.66147669998463199</v>
      </c>
      <c r="G83" t="s">
        <v>33</v>
      </c>
      <c r="H83">
        <v>4</v>
      </c>
      <c r="I83">
        <v>81</v>
      </c>
      <c r="J83">
        <v>0</v>
      </c>
      <c r="K83">
        <v>81</v>
      </c>
      <c r="L83">
        <v>0</v>
      </c>
      <c r="M83">
        <v>128.09557090001101</v>
      </c>
      <c r="O83">
        <v>128.08019460004201</v>
      </c>
      <c r="P83">
        <v>128.09557090001101</v>
      </c>
      <c r="Q83">
        <v>129.07943529996501</v>
      </c>
      <c r="R83">
        <v>129.09598820004601</v>
      </c>
      <c r="S83">
        <v>129.74680840002799</v>
      </c>
      <c r="T83" t="s">
        <v>38</v>
      </c>
      <c r="U83">
        <v>1</v>
      </c>
      <c r="V83">
        <v>0.66147669998463199</v>
      </c>
      <c r="W83" t="s">
        <v>33</v>
      </c>
      <c r="X83">
        <v>4</v>
      </c>
      <c r="Y83">
        <v>532194</v>
      </c>
      <c r="Z83">
        <v>1</v>
      </c>
      <c r="AA83" t="s">
        <v>34</v>
      </c>
      <c r="AB83" t="s">
        <v>35</v>
      </c>
      <c r="AD83" t="s">
        <v>36</v>
      </c>
      <c r="AE83">
        <v>60.257044507597698</v>
      </c>
      <c r="AF83" t="s">
        <v>37</v>
      </c>
    </row>
    <row r="84" spans="1:32" x14ac:dyDescent="0.35">
      <c r="A84">
        <v>82</v>
      </c>
      <c r="B84">
        <v>0</v>
      </c>
      <c r="C84">
        <v>82</v>
      </c>
      <c r="D84" t="s">
        <v>32</v>
      </c>
      <c r="E84">
        <v>1</v>
      </c>
      <c r="F84">
        <v>0.55389630002900903</v>
      </c>
      <c r="G84" t="s">
        <v>33</v>
      </c>
      <c r="H84">
        <v>0</v>
      </c>
      <c r="I84">
        <v>82</v>
      </c>
      <c r="J84">
        <v>0</v>
      </c>
      <c r="K84">
        <v>82</v>
      </c>
      <c r="L84">
        <v>0</v>
      </c>
      <c r="M84">
        <v>129.76272090000501</v>
      </c>
      <c r="O84">
        <v>129.747381399967</v>
      </c>
      <c r="P84">
        <v>129.76272090000501</v>
      </c>
      <c r="Q84">
        <v>130.76205450005301</v>
      </c>
      <c r="R84">
        <v>130.76205450005301</v>
      </c>
      <c r="S84">
        <v>131.329652299988</v>
      </c>
      <c r="T84" t="s">
        <v>32</v>
      </c>
      <c r="U84">
        <v>1</v>
      </c>
      <c r="V84">
        <v>0.55389630002900903</v>
      </c>
      <c r="W84" t="s">
        <v>33</v>
      </c>
      <c r="X84">
        <v>0</v>
      </c>
      <c r="Y84">
        <v>532194</v>
      </c>
      <c r="Z84">
        <v>1</v>
      </c>
      <c r="AA84" t="s">
        <v>34</v>
      </c>
      <c r="AB84" t="s">
        <v>35</v>
      </c>
      <c r="AD84" t="s">
        <v>36</v>
      </c>
      <c r="AE84">
        <v>60.257044507597698</v>
      </c>
      <c r="AF84" t="s">
        <v>37</v>
      </c>
    </row>
    <row r="85" spans="1:32" x14ac:dyDescent="0.35">
      <c r="A85">
        <v>83</v>
      </c>
      <c r="B85">
        <v>0</v>
      </c>
      <c r="C85">
        <v>83</v>
      </c>
      <c r="D85" t="s">
        <v>32</v>
      </c>
      <c r="E85">
        <v>0</v>
      </c>
      <c r="F85">
        <v>0.54051570000592597</v>
      </c>
      <c r="G85" t="s">
        <v>33</v>
      </c>
      <c r="H85">
        <v>-2</v>
      </c>
      <c r="I85">
        <v>83</v>
      </c>
      <c r="J85">
        <v>0</v>
      </c>
      <c r="K85">
        <v>83</v>
      </c>
      <c r="L85">
        <v>0</v>
      </c>
      <c r="M85">
        <v>131.34574750007499</v>
      </c>
      <c r="O85">
        <v>131.33013380004499</v>
      </c>
      <c r="P85">
        <v>131.34574750007499</v>
      </c>
      <c r="Q85">
        <v>132.34549720003201</v>
      </c>
      <c r="R85">
        <v>132.34549720003201</v>
      </c>
      <c r="S85">
        <v>132.89545419998399</v>
      </c>
      <c r="T85" t="s">
        <v>32</v>
      </c>
      <c r="U85">
        <v>0</v>
      </c>
      <c r="V85">
        <v>0.54051570000592597</v>
      </c>
      <c r="W85" t="s">
        <v>33</v>
      </c>
      <c r="X85">
        <v>-2</v>
      </c>
      <c r="Y85">
        <v>532194</v>
      </c>
      <c r="Z85">
        <v>1</v>
      </c>
      <c r="AA85" t="s">
        <v>34</v>
      </c>
      <c r="AB85" t="s">
        <v>35</v>
      </c>
      <c r="AD85" t="s">
        <v>36</v>
      </c>
      <c r="AE85">
        <v>60.257044507597698</v>
      </c>
      <c r="AF85" t="s">
        <v>37</v>
      </c>
    </row>
    <row r="86" spans="1:32" x14ac:dyDescent="0.35">
      <c r="A86">
        <v>84</v>
      </c>
      <c r="B86">
        <v>0</v>
      </c>
      <c r="C86">
        <v>84</v>
      </c>
      <c r="D86" t="s">
        <v>32</v>
      </c>
      <c r="E86">
        <v>0</v>
      </c>
      <c r="F86">
        <v>0.66685869998764202</v>
      </c>
      <c r="G86" t="s">
        <v>33</v>
      </c>
      <c r="H86">
        <v>1</v>
      </c>
      <c r="I86">
        <v>84</v>
      </c>
      <c r="J86">
        <v>0</v>
      </c>
      <c r="K86">
        <v>84</v>
      </c>
      <c r="L86">
        <v>0</v>
      </c>
      <c r="M86">
        <v>132.911751999985</v>
      </c>
      <c r="O86">
        <v>132.89586779998999</v>
      </c>
      <c r="P86">
        <v>132.911751999985</v>
      </c>
      <c r="Q86">
        <v>133.89513109996901</v>
      </c>
      <c r="R86">
        <v>133.912000100011</v>
      </c>
      <c r="S86">
        <v>134.57866380002801</v>
      </c>
      <c r="T86" t="s">
        <v>32</v>
      </c>
      <c r="U86">
        <v>0</v>
      </c>
      <c r="V86">
        <v>0.66685869998764202</v>
      </c>
      <c r="W86" t="s">
        <v>33</v>
      </c>
      <c r="X86">
        <v>1</v>
      </c>
      <c r="Y86">
        <v>532194</v>
      </c>
      <c r="Z86">
        <v>1</v>
      </c>
      <c r="AA86" t="s">
        <v>34</v>
      </c>
      <c r="AB86" t="s">
        <v>35</v>
      </c>
      <c r="AD86" t="s">
        <v>36</v>
      </c>
      <c r="AE86">
        <v>60.257044507597698</v>
      </c>
      <c r="AF86" t="s">
        <v>37</v>
      </c>
    </row>
    <row r="87" spans="1:32" x14ac:dyDescent="0.35">
      <c r="A87">
        <v>85</v>
      </c>
      <c r="B87">
        <v>0</v>
      </c>
      <c r="C87">
        <v>85</v>
      </c>
      <c r="D87" t="s">
        <v>38</v>
      </c>
      <c r="E87">
        <v>1</v>
      </c>
      <c r="F87">
        <v>0.94945459999144</v>
      </c>
      <c r="G87" t="s">
        <v>33</v>
      </c>
      <c r="H87">
        <v>3</v>
      </c>
      <c r="I87">
        <v>85</v>
      </c>
      <c r="J87">
        <v>0</v>
      </c>
      <c r="K87">
        <v>85</v>
      </c>
      <c r="L87">
        <v>0</v>
      </c>
      <c r="M87">
        <v>134.59541800001099</v>
      </c>
      <c r="O87">
        <v>134.57917649997299</v>
      </c>
      <c r="P87">
        <v>134.59541800001099</v>
      </c>
      <c r="Q87">
        <v>135.57836980000101</v>
      </c>
      <c r="R87">
        <v>135.59518760000299</v>
      </c>
      <c r="S87">
        <v>136.53008920000801</v>
      </c>
      <c r="T87" t="s">
        <v>38</v>
      </c>
      <c r="U87">
        <v>1</v>
      </c>
      <c r="V87">
        <v>0.94945459999144</v>
      </c>
      <c r="W87" t="s">
        <v>33</v>
      </c>
      <c r="X87">
        <v>3</v>
      </c>
      <c r="Y87">
        <v>532194</v>
      </c>
      <c r="Z87">
        <v>1</v>
      </c>
      <c r="AA87" t="s">
        <v>34</v>
      </c>
      <c r="AB87" t="s">
        <v>35</v>
      </c>
      <c r="AD87" t="s">
        <v>36</v>
      </c>
      <c r="AE87">
        <v>60.257044507597698</v>
      </c>
      <c r="AF87" t="s">
        <v>37</v>
      </c>
    </row>
    <row r="88" spans="1:32" x14ac:dyDescent="0.35">
      <c r="A88">
        <v>86</v>
      </c>
      <c r="B88">
        <v>0</v>
      </c>
      <c r="C88">
        <v>86</v>
      </c>
      <c r="D88" t="s">
        <v>32</v>
      </c>
      <c r="E88">
        <v>1</v>
      </c>
      <c r="F88">
        <v>6.3716999953612602E-2</v>
      </c>
      <c r="G88" t="s">
        <v>33</v>
      </c>
      <c r="H88">
        <v>0</v>
      </c>
      <c r="I88">
        <v>86</v>
      </c>
      <c r="J88">
        <v>0</v>
      </c>
      <c r="K88">
        <v>86</v>
      </c>
      <c r="L88">
        <v>0</v>
      </c>
      <c r="M88">
        <v>136.54573460004701</v>
      </c>
      <c r="O88">
        <v>136.530472500016</v>
      </c>
      <c r="P88">
        <v>136.54573460004701</v>
      </c>
      <c r="Q88">
        <v>137.545760500011</v>
      </c>
      <c r="R88">
        <v>137.545760500011</v>
      </c>
      <c r="S88">
        <v>137.61368730000601</v>
      </c>
      <c r="T88" t="s">
        <v>32</v>
      </c>
      <c r="U88">
        <v>1</v>
      </c>
      <c r="V88">
        <v>6.3716999953612602E-2</v>
      </c>
      <c r="W88" t="s">
        <v>33</v>
      </c>
      <c r="X88">
        <v>0</v>
      </c>
      <c r="Y88">
        <v>532194</v>
      </c>
      <c r="Z88">
        <v>1</v>
      </c>
      <c r="AA88" t="s">
        <v>34</v>
      </c>
      <c r="AB88" t="s">
        <v>35</v>
      </c>
      <c r="AD88" t="s">
        <v>36</v>
      </c>
      <c r="AE88">
        <v>60.257044507597698</v>
      </c>
      <c r="AF88" t="s">
        <v>37</v>
      </c>
    </row>
    <row r="89" spans="1:32" x14ac:dyDescent="0.35">
      <c r="A89">
        <v>87</v>
      </c>
      <c r="B89">
        <v>0</v>
      </c>
      <c r="C89">
        <v>87</v>
      </c>
      <c r="D89" t="s">
        <v>32</v>
      </c>
      <c r="E89">
        <v>0</v>
      </c>
      <c r="F89">
        <v>0.74945640005171299</v>
      </c>
      <c r="G89" t="s">
        <v>33</v>
      </c>
      <c r="H89">
        <v>1</v>
      </c>
      <c r="I89">
        <v>87</v>
      </c>
      <c r="J89">
        <v>0</v>
      </c>
      <c r="K89">
        <v>87</v>
      </c>
      <c r="L89">
        <v>0</v>
      </c>
      <c r="M89">
        <v>137.62888530001501</v>
      </c>
      <c r="O89">
        <v>137.61440640001001</v>
      </c>
      <c r="P89">
        <v>137.62888530001501</v>
      </c>
      <c r="Q89">
        <v>138.627174200024</v>
      </c>
      <c r="R89">
        <v>138.643741399981</v>
      </c>
      <c r="S89">
        <v>139.37843210005599</v>
      </c>
      <c r="T89" t="s">
        <v>32</v>
      </c>
      <c r="U89">
        <v>0</v>
      </c>
      <c r="V89">
        <v>0.74945640005171299</v>
      </c>
      <c r="W89" t="s">
        <v>33</v>
      </c>
      <c r="X89">
        <v>1</v>
      </c>
      <c r="Y89">
        <v>532194</v>
      </c>
      <c r="Z89">
        <v>1</v>
      </c>
      <c r="AA89" t="s">
        <v>34</v>
      </c>
      <c r="AB89" t="s">
        <v>35</v>
      </c>
      <c r="AD89" t="s">
        <v>36</v>
      </c>
      <c r="AE89">
        <v>60.257044507597698</v>
      </c>
      <c r="AF89" t="s">
        <v>37</v>
      </c>
    </row>
    <row r="90" spans="1:32" x14ac:dyDescent="0.35">
      <c r="A90">
        <v>88</v>
      </c>
      <c r="B90">
        <v>0</v>
      </c>
      <c r="C90">
        <v>88</v>
      </c>
      <c r="D90" t="s">
        <v>32</v>
      </c>
      <c r="E90">
        <v>1</v>
      </c>
      <c r="F90">
        <v>0.67014120006933797</v>
      </c>
      <c r="G90" t="s">
        <v>33</v>
      </c>
      <c r="H90">
        <v>0</v>
      </c>
      <c r="I90">
        <v>88</v>
      </c>
      <c r="J90">
        <v>0</v>
      </c>
      <c r="K90">
        <v>88</v>
      </c>
      <c r="L90">
        <v>0</v>
      </c>
      <c r="M90">
        <v>139.39410390006299</v>
      </c>
      <c r="O90">
        <v>139.37888420000601</v>
      </c>
      <c r="P90">
        <v>139.39410390006299</v>
      </c>
      <c r="Q90">
        <v>140.379349000053</v>
      </c>
      <c r="R90">
        <v>140.39523010002401</v>
      </c>
      <c r="S90">
        <v>141.06133489997501</v>
      </c>
      <c r="T90" t="s">
        <v>32</v>
      </c>
      <c r="U90">
        <v>1</v>
      </c>
      <c r="V90">
        <v>0.67014120006933797</v>
      </c>
      <c r="W90" t="s">
        <v>33</v>
      </c>
      <c r="X90">
        <v>0</v>
      </c>
      <c r="Y90">
        <v>532194</v>
      </c>
      <c r="Z90">
        <v>1</v>
      </c>
      <c r="AA90" t="s">
        <v>34</v>
      </c>
      <c r="AB90" t="s">
        <v>35</v>
      </c>
      <c r="AD90" t="s">
        <v>36</v>
      </c>
      <c r="AE90">
        <v>60.257044507597698</v>
      </c>
      <c r="AF90" t="s">
        <v>37</v>
      </c>
    </row>
    <row r="91" spans="1:32" x14ac:dyDescent="0.35">
      <c r="A91">
        <v>89</v>
      </c>
      <c r="B91">
        <v>0</v>
      </c>
      <c r="C91">
        <v>89</v>
      </c>
      <c r="D91" t="s">
        <v>38</v>
      </c>
      <c r="E91">
        <v>1</v>
      </c>
      <c r="F91">
        <v>0.81569139997009099</v>
      </c>
      <c r="G91" t="s">
        <v>33</v>
      </c>
      <c r="H91">
        <v>4</v>
      </c>
      <c r="I91">
        <v>89</v>
      </c>
      <c r="J91">
        <v>0</v>
      </c>
      <c r="K91">
        <v>89</v>
      </c>
      <c r="L91">
        <v>0</v>
      </c>
      <c r="M91">
        <v>141.07761859998499</v>
      </c>
      <c r="O91">
        <v>141.06182140007101</v>
      </c>
      <c r="P91">
        <v>141.07761859998499</v>
      </c>
      <c r="Q91">
        <v>142.06850960000801</v>
      </c>
      <c r="R91">
        <v>142.07816350005999</v>
      </c>
      <c r="S91">
        <v>142.89556189998899</v>
      </c>
      <c r="T91" t="s">
        <v>38</v>
      </c>
      <c r="U91">
        <v>1</v>
      </c>
      <c r="V91">
        <v>0.81569139997009099</v>
      </c>
      <c r="W91" t="s">
        <v>33</v>
      </c>
      <c r="X91">
        <v>4</v>
      </c>
      <c r="Y91">
        <v>532194</v>
      </c>
      <c r="Z91">
        <v>1</v>
      </c>
      <c r="AA91" t="s">
        <v>34</v>
      </c>
      <c r="AB91" t="s">
        <v>35</v>
      </c>
      <c r="AD91" t="s">
        <v>36</v>
      </c>
      <c r="AE91">
        <v>60.257044507597698</v>
      </c>
      <c r="AF91" t="s">
        <v>37</v>
      </c>
    </row>
    <row r="92" spans="1:32" x14ac:dyDescent="0.35">
      <c r="A92">
        <v>90</v>
      </c>
      <c r="B92">
        <v>0</v>
      </c>
      <c r="C92">
        <v>90</v>
      </c>
      <c r="D92" t="s">
        <v>32</v>
      </c>
      <c r="E92">
        <v>0</v>
      </c>
      <c r="F92">
        <v>0.44335740001406498</v>
      </c>
      <c r="G92" t="s">
        <v>33</v>
      </c>
      <c r="H92">
        <v>-4</v>
      </c>
      <c r="I92">
        <v>90</v>
      </c>
      <c r="J92">
        <v>0</v>
      </c>
      <c r="K92">
        <v>90</v>
      </c>
      <c r="L92">
        <v>0</v>
      </c>
      <c r="M92">
        <v>142.91176300006899</v>
      </c>
      <c r="O92">
        <v>142.89614209998399</v>
      </c>
      <c r="P92">
        <v>142.91176300006899</v>
      </c>
      <c r="Q92">
        <v>143.91157790005599</v>
      </c>
      <c r="R92">
        <v>143.91157790005599</v>
      </c>
      <c r="S92">
        <v>144.36081179999701</v>
      </c>
      <c r="T92" t="s">
        <v>32</v>
      </c>
      <c r="U92">
        <v>0</v>
      </c>
      <c r="V92">
        <v>0.44335740001406498</v>
      </c>
      <c r="W92" t="s">
        <v>33</v>
      </c>
      <c r="X92">
        <v>-4</v>
      </c>
      <c r="Y92">
        <v>532194</v>
      </c>
      <c r="Z92">
        <v>1</v>
      </c>
      <c r="AA92" t="s">
        <v>34</v>
      </c>
      <c r="AB92" t="s">
        <v>35</v>
      </c>
      <c r="AD92" t="s">
        <v>36</v>
      </c>
      <c r="AE92">
        <v>60.257044507597698</v>
      </c>
      <c r="AF92" t="s">
        <v>37</v>
      </c>
    </row>
    <row r="93" spans="1:32" x14ac:dyDescent="0.35">
      <c r="A93">
        <v>91</v>
      </c>
      <c r="B93">
        <v>0</v>
      </c>
      <c r="C93">
        <v>91</v>
      </c>
      <c r="D93" t="s">
        <v>32</v>
      </c>
      <c r="E93">
        <v>1</v>
      </c>
      <c r="F93">
        <v>0.67491369997151196</v>
      </c>
      <c r="G93" t="s">
        <v>33</v>
      </c>
      <c r="H93">
        <v>0</v>
      </c>
      <c r="I93">
        <v>91</v>
      </c>
      <c r="J93">
        <v>0</v>
      </c>
      <c r="K93">
        <v>91</v>
      </c>
      <c r="L93">
        <v>0</v>
      </c>
      <c r="M93">
        <v>144.37717550003401</v>
      </c>
      <c r="O93">
        <v>144.361233200063</v>
      </c>
      <c r="P93">
        <v>144.37717550003401</v>
      </c>
      <c r="Q93">
        <v>145.36045440007001</v>
      </c>
      <c r="R93">
        <v>145.37643389997501</v>
      </c>
      <c r="S93">
        <v>146.043738799984</v>
      </c>
      <c r="T93" t="s">
        <v>32</v>
      </c>
      <c r="U93">
        <v>1</v>
      </c>
      <c r="V93">
        <v>0.67491369997151196</v>
      </c>
      <c r="W93" t="s">
        <v>33</v>
      </c>
      <c r="X93">
        <v>0</v>
      </c>
      <c r="Y93">
        <v>532194</v>
      </c>
      <c r="Z93">
        <v>1</v>
      </c>
      <c r="AA93" t="s">
        <v>34</v>
      </c>
      <c r="AB93" t="s">
        <v>35</v>
      </c>
      <c r="AD93" t="s">
        <v>36</v>
      </c>
      <c r="AE93">
        <v>60.257044507597698</v>
      </c>
      <c r="AF93" t="s">
        <v>37</v>
      </c>
    </row>
    <row r="94" spans="1:32" x14ac:dyDescent="0.35">
      <c r="A94">
        <v>92</v>
      </c>
      <c r="B94">
        <v>0</v>
      </c>
      <c r="C94">
        <v>92</v>
      </c>
      <c r="D94" t="s">
        <v>38</v>
      </c>
      <c r="E94">
        <v>1</v>
      </c>
      <c r="F94">
        <v>1.29455549991689</v>
      </c>
      <c r="G94" t="s">
        <v>33</v>
      </c>
      <c r="H94">
        <v>-3</v>
      </c>
      <c r="I94">
        <v>92</v>
      </c>
      <c r="J94">
        <v>0</v>
      </c>
      <c r="K94">
        <v>92</v>
      </c>
      <c r="L94">
        <v>0</v>
      </c>
      <c r="M94">
        <v>146.06084260006901</v>
      </c>
      <c r="O94">
        <v>146.04450710001399</v>
      </c>
      <c r="P94">
        <v>146.06084260006901</v>
      </c>
      <c r="Q94">
        <v>147.043403499992</v>
      </c>
      <c r="R94">
        <v>147.06028830003899</v>
      </c>
      <c r="S94">
        <v>148.344925499986</v>
      </c>
      <c r="T94" t="s">
        <v>38</v>
      </c>
      <c r="U94">
        <v>1</v>
      </c>
      <c r="V94">
        <v>1.29455549991689</v>
      </c>
      <c r="W94" t="s">
        <v>33</v>
      </c>
      <c r="X94">
        <v>-3</v>
      </c>
      <c r="Y94">
        <v>532194</v>
      </c>
      <c r="Z94">
        <v>1</v>
      </c>
      <c r="AA94" t="s">
        <v>34</v>
      </c>
      <c r="AB94" t="s">
        <v>35</v>
      </c>
      <c r="AD94" t="s">
        <v>36</v>
      </c>
      <c r="AE94">
        <v>60.257044507597698</v>
      </c>
      <c r="AF94" t="s">
        <v>37</v>
      </c>
    </row>
    <row r="95" spans="1:32" x14ac:dyDescent="0.35">
      <c r="A95">
        <v>93</v>
      </c>
      <c r="B95">
        <v>0</v>
      </c>
      <c r="C95">
        <v>93</v>
      </c>
      <c r="D95" t="s">
        <v>32</v>
      </c>
      <c r="E95">
        <v>1</v>
      </c>
      <c r="F95">
        <v>1.5778401999268601</v>
      </c>
      <c r="G95" t="s">
        <v>33</v>
      </c>
      <c r="H95">
        <v>0</v>
      </c>
      <c r="I95">
        <v>93</v>
      </c>
      <c r="J95">
        <v>0</v>
      </c>
      <c r="K95">
        <v>93</v>
      </c>
      <c r="L95">
        <v>0</v>
      </c>
      <c r="M95">
        <v>148.361167700029</v>
      </c>
      <c r="O95">
        <v>148.345632500015</v>
      </c>
      <c r="P95">
        <v>148.361167700029</v>
      </c>
      <c r="Q95">
        <v>149.35962810006399</v>
      </c>
      <c r="R95">
        <v>149.37595939997101</v>
      </c>
      <c r="S95">
        <v>150.94378450000599</v>
      </c>
      <c r="T95" t="s">
        <v>32</v>
      </c>
      <c r="U95">
        <v>1</v>
      </c>
      <c r="V95">
        <v>1.5778401999268601</v>
      </c>
      <c r="W95" t="s">
        <v>33</v>
      </c>
      <c r="X95">
        <v>0</v>
      </c>
      <c r="Y95">
        <v>532194</v>
      </c>
      <c r="Z95">
        <v>1</v>
      </c>
      <c r="AA95" t="s">
        <v>34</v>
      </c>
      <c r="AB95" t="s">
        <v>35</v>
      </c>
      <c r="AD95" t="s">
        <v>36</v>
      </c>
      <c r="AE95">
        <v>60.257044507597698</v>
      </c>
      <c r="AF95" t="s">
        <v>37</v>
      </c>
    </row>
    <row r="96" spans="1:32" x14ac:dyDescent="0.35">
      <c r="A96">
        <v>94</v>
      </c>
      <c r="B96">
        <v>0</v>
      </c>
      <c r="C96">
        <v>94</v>
      </c>
      <c r="D96" t="s">
        <v>32</v>
      </c>
      <c r="E96">
        <v>0</v>
      </c>
      <c r="F96">
        <v>1.5163992999587199</v>
      </c>
      <c r="G96" t="s">
        <v>33</v>
      </c>
      <c r="H96">
        <v>-5</v>
      </c>
      <c r="I96">
        <v>94</v>
      </c>
      <c r="J96">
        <v>0</v>
      </c>
      <c r="K96">
        <v>94</v>
      </c>
      <c r="L96">
        <v>0</v>
      </c>
      <c r="M96">
        <v>150.95898860006099</v>
      </c>
      <c r="O96">
        <v>150.944187200046</v>
      </c>
      <c r="P96">
        <v>150.95898860006099</v>
      </c>
      <c r="Q96">
        <v>151.95857420004899</v>
      </c>
      <c r="R96">
        <v>151.95857420004899</v>
      </c>
      <c r="S96">
        <v>153.475796599988</v>
      </c>
      <c r="T96" t="s">
        <v>32</v>
      </c>
      <c r="U96">
        <v>0</v>
      </c>
      <c r="V96">
        <v>1.5163992999587199</v>
      </c>
      <c r="W96" t="s">
        <v>33</v>
      </c>
      <c r="X96">
        <v>-5</v>
      </c>
      <c r="Y96">
        <v>532194</v>
      </c>
      <c r="Z96">
        <v>1</v>
      </c>
      <c r="AA96" t="s">
        <v>34</v>
      </c>
      <c r="AB96" t="s">
        <v>35</v>
      </c>
      <c r="AD96" t="s">
        <v>36</v>
      </c>
      <c r="AE96">
        <v>60.257044507597698</v>
      </c>
      <c r="AF96" t="s">
        <v>37</v>
      </c>
    </row>
    <row r="97" spans="1:32" x14ac:dyDescent="0.35">
      <c r="A97">
        <v>95</v>
      </c>
      <c r="B97">
        <v>0</v>
      </c>
      <c r="C97">
        <v>95</v>
      </c>
      <c r="D97" t="s">
        <v>32</v>
      </c>
      <c r="E97">
        <v>1</v>
      </c>
      <c r="F97">
        <v>1.07187429990153</v>
      </c>
      <c r="G97" t="s">
        <v>33</v>
      </c>
      <c r="H97">
        <v>0</v>
      </c>
      <c r="I97">
        <v>95</v>
      </c>
      <c r="J97">
        <v>0</v>
      </c>
      <c r="K97">
        <v>95</v>
      </c>
      <c r="L97">
        <v>0</v>
      </c>
      <c r="M97">
        <v>153.49202820006701</v>
      </c>
      <c r="O97">
        <v>153.476300299982</v>
      </c>
      <c r="P97">
        <v>153.49202820006701</v>
      </c>
      <c r="Q97">
        <v>154.47434089996301</v>
      </c>
      <c r="R97">
        <v>154.50842700002201</v>
      </c>
      <c r="S97">
        <v>155.559364099986</v>
      </c>
      <c r="T97" t="s">
        <v>32</v>
      </c>
      <c r="U97">
        <v>1</v>
      </c>
      <c r="V97">
        <v>1.07187429990153</v>
      </c>
      <c r="W97" t="s">
        <v>33</v>
      </c>
      <c r="X97">
        <v>0</v>
      </c>
      <c r="Y97">
        <v>532194</v>
      </c>
      <c r="Z97">
        <v>1</v>
      </c>
      <c r="AA97" t="s">
        <v>34</v>
      </c>
      <c r="AB97" t="s">
        <v>35</v>
      </c>
      <c r="AD97" t="s">
        <v>36</v>
      </c>
      <c r="AE97">
        <v>60.257044507597698</v>
      </c>
      <c r="AF97" t="s">
        <v>37</v>
      </c>
    </row>
    <row r="98" spans="1:32" x14ac:dyDescent="0.35">
      <c r="A98">
        <v>96</v>
      </c>
      <c r="B98">
        <v>0</v>
      </c>
      <c r="C98">
        <v>96</v>
      </c>
      <c r="D98" t="s">
        <v>38</v>
      </c>
      <c r="E98">
        <v>1</v>
      </c>
      <c r="F98">
        <v>0.86016919999383301</v>
      </c>
      <c r="G98" t="s">
        <v>33</v>
      </c>
      <c r="H98">
        <v>-5</v>
      </c>
      <c r="I98">
        <v>96</v>
      </c>
      <c r="J98">
        <v>0</v>
      </c>
      <c r="K98">
        <v>96</v>
      </c>
      <c r="L98">
        <v>0</v>
      </c>
      <c r="M98">
        <v>155.57503060006999</v>
      </c>
      <c r="O98">
        <v>155.55984440003499</v>
      </c>
      <c r="P98">
        <v>155.57503060006999</v>
      </c>
      <c r="Q98">
        <v>156.575355599983</v>
      </c>
      <c r="R98">
        <v>156.575355599983</v>
      </c>
      <c r="S98">
        <v>157.441944999969</v>
      </c>
      <c r="T98" t="s">
        <v>38</v>
      </c>
      <c r="U98">
        <v>1</v>
      </c>
      <c r="V98">
        <v>0.86016919999383301</v>
      </c>
      <c r="W98" t="s">
        <v>33</v>
      </c>
      <c r="X98">
        <v>-5</v>
      </c>
      <c r="Y98">
        <v>532194</v>
      </c>
      <c r="Z98">
        <v>1</v>
      </c>
      <c r="AA98" t="s">
        <v>34</v>
      </c>
      <c r="AB98" t="s">
        <v>35</v>
      </c>
      <c r="AD98" t="s">
        <v>36</v>
      </c>
      <c r="AE98">
        <v>60.257044507597698</v>
      </c>
      <c r="AF98" t="s">
        <v>37</v>
      </c>
    </row>
    <row r="99" spans="1:32" x14ac:dyDescent="0.35">
      <c r="A99">
        <v>97</v>
      </c>
      <c r="B99">
        <v>0</v>
      </c>
      <c r="C99">
        <v>97</v>
      </c>
      <c r="D99" t="s">
        <v>38</v>
      </c>
      <c r="E99">
        <v>0</v>
      </c>
      <c r="F99">
        <v>1.35545539995655</v>
      </c>
      <c r="G99" t="s">
        <v>33</v>
      </c>
      <c r="H99">
        <v>0</v>
      </c>
      <c r="I99">
        <v>97</v>
      </c>
      <c r="J99">
        <v>0</v>
      </c>
      <c r="K99">
        <v>97</v>
      </c>
      <c r="L99">
        <v>0</v>
      </c>
      <c r="M99">
        <v>157.45741370005999</v>
      </c>
      <c r="O99">
        <v>157.442355500068</v>
      </c>
      <c r="P99">
        <v>157.45741370005999</v>
      </c>
      <c r="Q99">
        <v>158.44141820003199</v>
      </c>
      <c r="R99">
        <v>158.45742079999701</v>
      </c>
      <c r="S99">
        <v>159.809174000052</v>
      </c>
      <c r="T99" t="s">
        <v>38</v>
      </c>
      <c r="U99">
        <v>0</v>
      </c>
      <c r="V99">
        <v>1.35545539995655</v>
      </c>
      <c r="W99" t="s">
        <v>33</v>
      </c>
      <c r="X99">
        <v>0</v>
      </c>
      <c r="Y99">
        <v>532194</v>
      </c>
      <c r="Z99">
        <v>1</v>
      </c>
      <c r="AA99" t="s">
        <v>34</v>
      </c>
      <c r="AB99" t="s">
        <v>35</v>
      </c>
      <c r="AD99" t="s">
        <v>36</v>
      </c>
      <c r="AE99">
        <v>60.257044507597698</v>
      </c>
      <c r="AF99" t="s">
        <v>37</v>
      </c>
    </row>
    <row r="100" spans="1:32" x14ac:dyDescent="0.35">
      <c r="A100">
        <v>98</v>
      </c>
      <c r="B100">
        <v>0</v>
      </c>
      <c r="C100">
        <v>98</v>
      </c>
      <c r="D100" t="s">
        <v>32</v>
      </c>
      <c r="E100">
        <v>0</v>
      </c>
      <c r="F100">
        <v>0.93724650004878596</v>
      </c>
      <c r="G100" t="s">
        <v>33</v>
      </c>
      <c r="H100">
        <v>-3</v>
      </c>
      <c r="I100">
        <v>98</v>
      </c>
      <c r="J100">
        <v>0</v>
      </c>
      <c r="K100">
        <v>98</v>
      </c>
      <c r="L100">
        <v>0</v>
      </c>
      <c r="M100">
        <v>159.82396900001899</v>
      </c>
      <c r="O100">
        <v>159.80979339999601</v>
      </c>
      <c r="P100">
        <v>159.82396900001899</v>
      </c>
      <c r="Q100">
        <v>160.807609200011</v>
      </c>
      <c r="R100">
        <v>160.823383499984</v>
      </c>
      <c r="S100">
        <v>161.757947399979</v>
      </c>
      <c r="T100" t="s">
        <v>32</v>
      </c>
      <c r="U100">
        <v>0</v>
      </c>
      <c r="V100">
        <v>0.93724650004878596</v>
      </c>
      <c r="W100" t="s">
        <v>33</v>
      </c>
      <c r="X100">
        <v>-3</v>
      </c>
      <c r="Y100">
        <v>532194</v>
      </c>
      <c r="Z100">
        <v>1</v>
      </c>
      <c r="AA100" t="s">
        <v>34</v>
      </c>
      <c r="AB100" t="s">
        <v>35</v>
      </c>
      <c r="AD100" t="s">
        <v>36</v>
      </c>
      <c r="AE100">
        <v>60.257044507597698</v>
      </c>
      <c r="AF100" t="s">
        <v>37</v>
      </c>
    </row>
    <row r="101" spans="1:32" x14ac:dyDescent="0.35">
      <c r="A101">
        <v>99</v>
      </c>
      <c r="B101">
        <v>0</v>
      </c>
      <c r="C101">
        <v>99</v>
      </c>
      <c r="D101" t="s">
        <v>38</v>
      </c>
      <c r="E101">
        <v>1</v>
      </c>
      <c r="F101">
        <v>1.2335126999532799</v>
      </c>
      <c r="G101" t="s">
        <v>33</v>
      </c>
      <c r="H101">
        <v>3</v>
      </c>
      <c r="I101">
        <v>99</v>
      </c>
      <c r="J101">
        <v>0</v>
      </c>
      <c r="K101">
        <v>99</v>
      </c>
      <c r="L101">
        <v>0</v>
      </c>
      <c r="M101">
        <v>161.774470300064</v>
      </c>
      <c r="O101">
        <v>161.75844180001801</v>
      </c>
      <c r="P101">
        <v>161.774470300064</v>
      </c>
      <c r="Q101">
        <v>162.77379630005399</v>
      </c>
      <c r="R101">
        <v>162.79223650007</v>
      </c>
      <c r="S101">
        <v>164.02518930006701</v>
      </c>
      <c r="T101" t="s">
        <v>38</v>
      </c>
      <c r="U101">
        <v>1</v>
      </c>
      <c r="V101">
        <v>1.2335126999532799</v>
      </c>
      <c r="W101" t="s">
        <v>33</v>
      </c>
      <c r="X101">
        <v>3</v>
      </c>
      <c r="Y101">
        <v>532194</v>
      </c>
      <c r="Z101">
        <v>1</v>
      </c>
      <c r="AA101" t="s">
        <v>34</v>
      </c>
      <c r="AB101" t="s">
        <v>35</v>
      </c>
      <c r="AD101" t="s">
        <v>36</v>
      </c>
      <c r="AE101">
        <v>60.257044507597698</v>
      </c>
      <c r="AF10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"/>
  <sheetViews>
    <sheetView tabSelected="1" topLeftCell="F1" workbookViewId="0">
      <selection activeCell="O14" sqref="O14"/>
    </sheetView>
  </sheetViews>
  <sheetFormatPr defaultRowHeight="14.5" x14ac:dyDescent="0.35"/>
  <cols>
    <col min="1" max="1" width="12.7265625" customWidth="1"/>
    <col min="2" max="2" width="13.453125" customWidth="1"/>
    <col min="9" max="9" width="15" customWidth="1"/>
    <col min="10" max="10" width="19.90625" customWidth="1"/>
    <col min="11" max="11" width="14.453125" customWidth="1"/>
    <col min="12" max="12" width="15.81640625" customWidth="1"/>
    <col min="13" max="13" width="24.1796875" customWidth="1"/>
    <col min="14" max="14" width="16.36328125" customWidth="1"/>
    <col min="15" max="15" width="23.6328125" customWidth="1"/>
  </cols>
  <sheetData>
    <row r="1" spans="1:15" x14ac:dyDescent="0.35">
      <c r="A1" t="s">
        <v>3</v>
      </c>
      <c r="B1" t="s">
        <v>4</v>
      </c>
      <c r="C1" t="s">
        <v>7</v>
      </c>
      <c r="D1" t="s">
        <v>39</v>
      </c>
      <c r="E1" t="s">
        <v>40</v>
      </c>
      <c r="F1" t="s">
        <v>41</v>
      </c>
      <c r="G1" t="s">
        <v>42</v>
      </c>
    </row>
    <row r="2" spans="1:15" x14ac:dyDescent="0.35">
      <c r="A2" t="s">
        <v>32</v>
      </c>
      <c r="B2">
        <v>1</v>
      </c>
      <c r="C2">
        <v>0</v>
      </c>
      <c r="D2">
        <v>1</v>
      </c>
    </row>
    <row r="3" spans="1:15" x14ac:dyDescent="0.35">
      <c r="A3" t="s">
        <v>38</v>
      </c>
      <c r="B3">
        <v>0</v>
      </c>
      <c r="C3">
        <v>0</v>
      </c>
      <c r="E3">
        <v>1</v>
      </c>
    </row>
    <row r="4" spans="1:15" x14ac:dyDescent="0.35">
      <c r="A4" t="s">
        <v>32</v>
      </c>
      <c r="B4">
        <v>1</v>
      </c>
      <c r="C4">
        <v>0</v>
      </c>
      <c r="D4">
        <v>1</v>
      </c>
    </row>
    <row r="5" spans="1:15" x14ac:dyDescent="0.35">
      <c r="A5" t="s">
        <v>32</v>
      </c>
      <c r="B5">
        <v>0</v>
      </c>
      <c r="C5">
        <v>4</v>
      </c>
      <c r="F5">
        <v>1</v>
      </c>
    </row>
    <row r="6" spans="1:15" x14ac:dyDescent="0.35">
      <c r="A6" t="s">
        <v>32</v>
      </c>
      <c r="B6">
        <v>1</v>
      </c>
      <c r="C6">
        <v>0</v>
      </c>
      <c r="D6">
        <v>1</v>
      </c>
    </row>
    <row r="7" spans="1:15" x14ac:dyDescent="0.35">
      <c r="A7" t="s">
        <v>38</v>
      </c>
      <c r="B7">
        <v>0</v>
      </c>
      <c r="C7">
        <v>0</v>
      </c>
      <c r="E7">
        <v>1</v>
      </c>
    </row>
    <row r="8" spans="1:15" x14ac:dyDescent="0.35">
      <c r="A8" t="s">
        <v>38</v>
      </c>
      <c r="B8">
        <v>0</v>
      </c>
      <c r="C8">
        <v>0</v>
      </c>
      <c r="E8">
        <v>1</v>
      </c>
      <c r="J8" t="s">
        <v>43</v>
      </c>
      <c r="K8" t="s">
        <v>44</v>
      </c>
      <c r="M8" t="s">
        <v>45</v>
      </c>
      <c r="O8">
        <f>J15/(J15+K15)</f>
        <v>0.73333333333333328</v>
      </c>
    </row>
    <row r="9" spans="1:15" x14ac:dyDescent="0.35">
      <c r="A9" t="s">
        <v>32</v>
      </c>
      <c r="B9">
        <v>0</v>
      </c>
      <c r="C9">
        <v>2</v>
      </c>
      <c r="F9">
        <v>1</v>
      </c>
      <c r="I9" t="s">
        <v>46</v>
      </c>
      <c r="J9" t="s">
        <v>47</v>
      </c>
      <c r="K9" t="s">
        <v>48</v>
      </c>
      <c r="M9" t="s">
        <v>49</v>
      </c>
      <c r="O9">
        <f>J16/(J16+K16)</f>
        <v>0.67272727272727273</v>
      </c>
    </row>
    <row r="10" spans="1:15" x14ac:dyDescent="0.35">
      <c r="A10" t="s">
        <v>32</v>
      </c>
      <c r="B10">
        <v>0</v>
      </c>
      <c r="C10">
        <v>1</v>
      </c>
      <c r="F10">
        <v>1</v>
      </c>
      <c r="I10" t="s">
        <v>50</v>
      </c>
      <c r="J10" t="s">
        <v>51</v>
      </c>
      <c r="K10" t="s">
        <v>52</v>
      </c>
    </row>
    <row r="11" spans="1:15" x14ac:dyDescent="0.35">
      <c r="A11" t="s">
        <v>32</v>
      </c>
      <c r="B11">
        <v>0</v>
      </c>
      <c r="C11">
        <v>3</v>
      </c>
      <c r="F11">
        <v>1</v>
      </c>
    </row>
    <row r="12" spans="1:15" x14ac:dyDescent="0.35">
      <c r="A12" t="s">
        <v>32</v>
      </c>
      <c r="B12">
        <v>1</v>
      </c>
      <c r="C12">
        <v>0</v>
      </c>
      <c r="D12">
        <v>1</v>
      </c>
    </row>
    <row r="13" spans="1:15" x14ac:dyDescent="0.35">
      <c r="A13" t="s">
        <v>38</v>
      </c>
      <c r="B13">
        <v>0</v>
      </c>
      <c r="C13">
        <v>0</v>
      </c>
      <c r="E13">
        <v>1</v>
      </c>
      <c r="M13" t="s">
        <v>53</v>
      </c>
      <c r="O13">
        <f>_xlfn.NORM.S.INV(O8)-_xlfn.NORM.S.INV(O9)</f>
        <v>0.17546917516112398</v>
      </c>
    </row>
    <row r="14" spans="1:15" x14ac:dyDescent="0.35">
      <c r="A14" t="s">
        <v>32</v>
      </c>
      <c r="B14">
        <v>0</v>
      </c>
      <c r="C14">
        <v>-2</v>
      </c>
      <c r="F14">
        <v>1</v>
      </c>
      <c r="J14" t="s">
        <v>43</v>
      </c>
      <c r="K14" t="s">
        <v>44</v>
      </c>
      <c r="M14" t="s">
        <v>54</v>
      </c>
      <c r="O14">
        <f xml:space="preserve"> -(_xlfn.NORM.S.INV(O8)+_xlfn.NORM.S.INV(O9)/2)</f>
        <v>-0.84665399723456969</v>
      </c>
    </row>
    <row r="15" spans="1:15" x14ac:dyDescent="0.35">
      <c r="A15" t="s">
        <v>32</v>
      </c>
      <c r="B15">
        <v>1</v>
      </c>
      <c r="C15">
        <v>0</v>
      </c>
      <c r="D15">
        <v>1</v>
      </c>
      <c r="I15" t="s">
        <v>46</v>
      </c>
      <c r="J15">
        <v>33</v>
      </c>
      <c r="K15">
        <v>12</v>
      </c>
    </row>
    <row r="16" spans="1:15" x14ac:dyDescent="0.35">
      <c r="A16" t="s">
        <v>38</v>
      </c>
      <c r="B16">
        <v>0</v>
      </c>
      <c r="C16">
        <v>0</v>
      </c>
      <c r="E16">
        <v>1</v>
      </c>
      <c r="I16" t="s">
        <v>55</v>
      </c>
      <c r="J16">
        <v>37</v>
      </c>
      <c r="K16">
        <v>18</v>
      </c>
    </row>
    <row r="17" spans="1:7" x14ac:dyDescent="0.35">
      <c r="A17" t="s">
        <v>32</v>
      </c>
      <c r="B17">
        <v>0</v>
      </c>
      <c r="C17">
        <v>-3</v>
      </c>
      <c r="F17">
        <v>1</v>
      </c>
    </row>
    <row r="18" spans="1:7" x14ac:dyDescent="0.35">
      <c r="A18" t="s">
        <v>32</v>
      </c>
      <c r="B18">
        <v>0</v>
      </c>
      <c r="C18">
        <v>-2</v>
      </c>
      <c r="F18">
        <v>1</v>
      </c>
    </row>
    <row r="19" spans="1:7" x14ac:dyDescent="0.35">
      <c r="A19" t="s">
        <v>32</v>
      </c>
      <c r="B19">
        <v>0</v>
      </c>
      <c r="C19">
        <v>-3</v>
      </c>
      <c r="F19">
        <v>1</v>
      </c>
    </row>
    <row r="20" spans="1:7" x14ac:dyDescent="0.35">
      <c r="A20" t="s">
        <v>38</v>
      </c>
      <c r="B20">
        <v>1</v>
      </c>
      <c r="C20">
        <v>1</v>
      </c>
      <c r="G20">
        <v>1</v>
      </c>
    </row>
    <row r="21" spans="1:7" x14ac:dyDescent="0.35">
      <c r="A21" t="s">
        <v>32</v>
      </c>
      <c r="B21">
        <v>0</v>
      </c>
      <c r="C21">
        <v>-3</v>
      </c>
      <c r="F21">
        <v>1</v>
      </c>
    </row>
    <row r="22" spans="1:7" x14ac:dyDescent="0.35">
      <c r="A22" t="s">
        <v>38</v>
      </c>
      <c r="B22">
        <v>0</v>
      </c>
      <c r="C22">
        <v>0</v>
      </c>
      <c r="E22">
        <v>1</v>
      </c>
    </row>
    <row r="23" spans="1:7" x14ac:dyDescent="0.35">
      <c r="A23" t="s">
        <v>32</v>
      </c>
      <c r="B23">
        <v>0</v>
      </c>
      <c r="C23">
        <v>-3</v>
      </c>
      <c r="F23">
        <v>1</v>
      </c>
    </row>
    <row r="24" spans="1:7" x14ac:dyDescent="0.35">
      <c r="A24" t="s">
        <v>32</v>
      </c>
      <c r="B24">
        <v>1</v>
      </c>
      <c r="C24">
        <v>0</v>
      </c>
      <c r="D24">
        <v>1</v>
      </c>
    </row>
    <row r="25" spans="1:7" x14ac:dyDescent="0.35">
      <c r="A25" t="s">
        <v>32</v>
      </c>
      <c r="B25">
        <v>0</v>
      </c>
      <c r="C25">
        <v>3</v>
      </c>
      <c r="F25">
        <v>1</v>
      </c>
    </row>
    <row r="26" spans="1:7" x14ac:dyDescent="0.35">
      <c r="A26" t="s">
        <v>38</v>
      </c>
      <c r="B26">
        <v>0</v>
      </c>
      <c r="C26">
        <v>0</v>
      </c>
      <c r="E26">
        <v>1</v>
      </c>
    </row>
    <row r="27" spans="1:7" x14ac:dyDescent="0.35">
      <c r="A27" t="s">
        <v>38</v>
      </c>
      <c r="B27">
        <v>1</v>
      </c>
      <c r="C27">
        <v>-2</v>
      </c>
      <c r="G27">
        <v>1</v>
      </c>
    </row>
    <row r="28" spans="1:7" x14ac:dyDescent="0.35">
      <c r="A28" t="s">
        <v>32</v>
      </c>
      <c r="B28">
        <v>1</v>
      </c>
      <c r="C28">
        <v>0</v>
      </c>
      <c r="D28">
        <v>1</v>
      </c>
    </row>
    <row r="29" spans="1:7" x14ac:dyDescent="0.35">
      <c r="A29" t="s">
        <v>32</v>
      </c>
      <c r="B29">
        <v>1</v>
      </c>
      <c r="C29">
        <v>0</v>
      </c>
      <c r="D29">
        <v>1</v>
      </c>
    </row>
    <row r="30" spans="1:7" x14ac:dyDescent="0.35">
      <c r="A30" t="s">
        <v>32</v>
      </c>
      <c r="B30">
        <v>1</v>
      </c>
      <c r="C30">
        <v>0</v>
      </c>
      <c r="D30">
        <v>1</v>
      </c>
    </row>
    <row r="31" spans="1:7" x14ac:dyDescent="0.35">
      <c r="A31" t="s">
        <v>38</v>
      </c>
      <c r="B31">
        <v>1</v>
      </c>
      <c r="C31">
        <v>1</v>
      </c>
      <c r="G31">
        <v>1</v>
      </c>
    </row>
    <row r="32" spans="1:7" x14ac:dyDescent="0.35">
      <c r="A32" t="s">
        <v>32</v>
      </c>
      <c r="B32">
        <v>0</v>
      </c>
      <c r="C32">
        <v>2</v>
      </c>
      <c r="F32">
        <v>1</v>
      </c>
    </row>
    <row r="33" spans="1:7" x14ac:dyDescent="0.35">
      <c r="A33" t="s">
        <v>32</v>
      </c>
      <c r="B33">
        <v>0</v>
      </c>
      <c r="C33">
        <v>2</v>
      </c>
      <c r="F33">
        <v>1</v>
      </c>
    </row>
    <row r="34" spans="1:7" x14ac:dyDescent="0.35">
      <c r="A34" t="s">
        <v>32</v>
      </c>
      <c r="B34">
        <v>1</v>
      </c>
      <c r="C34">
        <v>0</v>
      </c>
      <c r="D34">
        <v>1</v>
      </c>
    </row>
    <row r="35" spans="1:7" x14ac:dyDescent="0.35">
      <c r="A35" t="s">
        <v>32</v>
      </c>
      <c r="B35">
        <v>1</v>
      </c>
      <c r="C35">
        <v>0</v>
      </c>
      <c r="D35">
        <v>1</v>
      </c>
    </row>
    <row r="36" spans="1:7" x14ac:dyDescent="0.35">
      <c r="A36" t="s">
        <v>32</v>
      </c>
      <c r="B36">
        <v>1</v>
      </c>
      <c r="C36">
        <v>0</v>
      </c>
      <c r="D36">
        <v>1</v>
      </c>
    </row>
    <row r="37" spans="1:7" x14ac:dyDescent="0.35">
      <c r="A37" t="s">
        <v>38</v>
      </c>
      <c r="B37">
        <v>0</v>
      </c>
      <c r="C37">
        <v>0</v>
      </c>
      <c r="D37">
        <v>1</v>
      </c>
    </row>
    <row r="38" spans="1:7" x14ac:dyDescent="0.35">
      <c r="A38" t="s">
        <v>32</v>
      </c>
      <c r="B38">
        <v>0</v>
      </c>
      <c r="C38">
        <v>3</v>
      </c>
      <c r="F38">
        <v>1</v>
      </c>
    </row>
    <row r="39" spans="1:7" x14ac:dyDescent="0.35">
      <c r="A39" t="s">
        <v>38</v>
      </c>
      <c r="B39">
        <v>1</v>
      </c>
      <c r="C39">
        <v>2</v>
      </c>
      <c r="G39">
        <v>1</v>
      </c>
    </row>
    <row r="40" spans="1:7" x14ac:dyDescent="0.35">
      <c r="A40" t="s">
        <v>32</v>
      </c>
      <c r="B40">
        <v>0</v>
      </c>
      <c r="C40">
        <v>2</v>
      </c>
      <c r="D40">
        <v>1</v>
      </c>
    </row>
    <row r="41" spans="1:7" x14ac:dyDescent="0.35">
      <c r="A41" t="s">
        <v>32</v>
      </c>
      <c r="B41">
        <v>0</v>
      </c>
      <c r="C41">
        <v>1</v>
      </c>
      <c r="F41">
        <v>1</v>
      </c>
    </row>
    <row r="42" spans="1:7" x14ac:dyDescent="0.35">
      <c r="A42" t="s">
        <v>32</v>
      </c>
      <c r="B42">
        <v>1</v>
      </c>
      <c r="C42">
        <v>0</v>
      </c>
      <c r="D42">
        <v>1</v>
      </c>
    </row>
    <row r="43" spans="1:7" x14ac:dyDescent="0.35">
      <c r="A43" t="s">
        <v>32</v>
      </c>
      <c r="B43">
        <v>1</v>
      </c>
      <c r="C43">
        <v>0</v>
      </c>
      <c r="D43">
        <v>1</v>
      </c>
    </row>
    <row r="44" spans="1:7" x14ac:dyDescent="0.35">
      <c r="A44" t="s">
        <v>32</v>
      </c>
      <c r="B44">
        <v>1</v>
      </c>
      <c r="C44">
        <v>0</v>
      </c>
      <c r="D44">
        <v>1</v>
      </c>
    </row>
    <row r="45" spans="1:7" x14ac:dyDescent="0.35">
      <c r="A45" t="s">
        <v>38</v>
      </c>
      <c r="B45">
        <v>1</v>
      </c>
      <c r="C45">
        <v>-2</v>
      </c>
      <c r="G45">
        <v>1</v>
      </c>
    </row>
    <row r="46" spans="1:7" x14ac:dyDescent="0.35">
      <c r="A46" t="s">
        <v>32</v>
      </c>
      <c r="B46">
        <v>0</v>
      </c>
      <c r="C46">
        <v>-4</v>
      </c>
      <c r="G46">
        <v>1</v>
      </c>
    </row>
    <row r="47" spans="1:7" x14ac:dyDescent="0.35">
      <c r="A47" t="s">
        <v>32</v>
      </c>
      <c r="B47">
        <v>0</v>
      </c>
      <c r="C47">
        <v>4</v>
      </c>
      <c r="F47">
        <v>1</v>
      </c>
    </row>
    <row r="48" spans="1:7" x14ac:dyDescent="0.35">
      <c r="A48" t="s">
        <v>32</v>
      </c>
      <c r="B48">
        <v>0</v>
      </c>
      <c r="C48">
        <v>2</v>
      </c>
      <c r="F48">
        <v>1</v>
      </c>
    </row>
    <row r="49" spans="1:7" x14ac:dyDescent="0.35">
      <c r="A49" t="s">
        <v>38</v>
      </c>
      <c r="B49">
        <v>0</v>
      </c>
      <c r="C49">
        <v>0</v>
      </c>
      <c r="E49">
        <v>1</v>
      </c>
    </row>
    <row r="50" spans="1:7" x14ac:dyDescent="0.35">
      <c r="A50" t="s">
        <v>32</v>
      </c>
      <c r="B50">
        <v>1</v>
      </c>
      <c r="C50">
        <v>0</v>
      </c>
      <c r="D50">
        <v>1</v>
      </c>
    </row>
    <row r="51" spans="1:7" x14ac:dyDescent="0.35">
      <c r="A51" t="s">
        <v>32</v>
      </c>
      <c r="B51">
        <v>1</v>
      </c>
      <c r="C51">
        <v>0</v>
      </c>
      <c r="D51">
        <v>1</v>
      </c>
    </row>
    <row r="52" spans="1:7" x14ac:dyDescent="0.35">
      <c r="A52" t="s">
        <v>32</v>
      </c>
      <c r="B52">
        <v>0</v>
      </c>
      <c r="C52">
        <v>3</v>
      </c>
      <c r="F52">
        <v>1</v>
      </c>
    </row>
    <row r="53" spans="1:7" x14ac:dyDescent="0.35">
      <c r="A53" t="s">
        <v>38</v>
      </c>
      <c r="B53">
        <v>0</v>
      </c>
      <c r="C53">
        <v>0</v>
      </c>
      <c r="E53">
        <v>1</v>
      </c>
    </row>
    <row r="54" spans="1:7" x14ac:dyDescent="0.35">
      <c r="A54" t="s">
        <v>32</v>
      </c>
      <c r="B54">
        <v>0</v>
      </c>
      <c r="C54">
        <v>-3</v>
      </c>
      <c r="F54">
        <v>1</v>
      </c>
    </row>
    <row r="55" spans="1:7" x14ac:dyDescent="0.35">
      <c r="A55" t="s">
        <v>32</v>
      </c>
      <c r="B55">
        <v>0</v>
      </c>
      <c r="C55">
        <v>-4</v>
      </c>
      <c r="F55">
        <v>1</v>
      </c>
    </row>
    <row r="56" spans="1:7" x14ac:dyDescent="0.35">
      <c r="A56" t="s">
        <v>32</v>
      </c>
      <c r="B56">
        <v>1</v>
      </c>
      <c r="C56">
        <v>0</v>
      </c>
      <c r="D56">
        <v>1</v>
      </c>
    </row>
    <row r="57" spans="1:7" x14ac:dyDescent="0.35">
      <c r="A57" t="s">
        <v>32</v>
      </c>
      <c r="B57">
        <v>1</v>
      </c>
      <c r="C57">
        <v>0</v>
      </c>
      <c r="D57">
        <v>1</v>
      </c>
    </row>
    <row r="58" spans="1:7" x14ac:dyDescent="0.35">
      <c r="A58" t="s">
        <v>32</v>
      </c>
      <c r="B58">
        <v>0</v>
      </c>
      <c r="C58">
        <v>3</v>
      </c>
      <c r="F58">
        <v>1</v>
      </c>
    </row>
    <row r="59" spans="1:7" x14ac:dyDescent="0.35">
      <c r="A59" t="s">
        <v>38</v>
      </c>
      <c r="B59">
        <v>1</v>
      </c>
      <c r="C59">
        <v>-5</v>
      </c>
      <c r="G59">
        <v>1</v>
      </c>
    </row>
    <row r="60" spans="1:7" x14ac:dyDescent="0.35">
      <c r="A60" t="s">
        <v>38</v>
      </c>
      <c r="B60">
        <v>0</v>
      </c>
      <c r="C60">
        <v>0</v>
      </c>
      <c r="E60">
        <v>1</v>
      </c>
    </row>
    <row r="61" spans="1:7" x14ac:dyDescent="0.35">
      <c r="A61" t="s">
        <v>38</v>
      </c>
      <c r="B61">
        <v>1</v>
      </c>
      <c r="C61">
        <v>-4</v>
      </c>
      <c r="G61">
        <v>1</v>
      </c>
    </row>
    <row r="62" spans="1:7" x14ac:dyDescent="0.35">
      <c r="A62" t="s">
        <v>32</v>
      </c>
      <c r="B62">
        <v>1</v>
      </c>
      <c r="C62">
        <v>0</v>
      </c>
      <c r="D62">
        <v>1</v>
      </c>
    </row>
    <row r="63" spans="1:7" x14ac:dyDescent="0.35">
      <c r="A63" t="s">
        <v>32</v>
      </c>
      <c r="B63">
        <v>1</v>
      </c>
      <c r="C63">
        <v>0</v>
      </c>
      <c r="D63">
        <v>1</v>
      </c>
    </row>
    <row r="64" spans="1:7" x14ac:dyDescent="0.35">
      <c r="A64" t="s">
        <v>32</v>
      </c>
      <c r="B64">
        <v>1</v>
      </c>
      <c r="C64">
        <v>0</v>
      </c>
      <c r="D64">
        <v>1</v>
      </c>
    </row>
    <row r="65" spans="1:7" x14ac:dyDescent="0.35">
      <c r="A65" t="s">
        <v>32</v>
      </c>
      <c r="B65">
        <v>0</v>
      </c>
      <c r="C65">
        <v>-3</v>
      </c>
      <c r="F65">
        <v>1</v>
      </c>
    </row>
    <row r="66" spans="1:7" x14ac:dyDescent="0.35">
      <c r="A66" t="s">
        <v>32</v>
      </c>
      <c r="B66">
        <v>0</v>
      </c>
      <c r="C66">
        <v>-3</v>
      </c>
      <c r="F66">
        <v>1</v>
      </c>
    </row>
    <row r="67" spans="1:7" x14ac:dyDescent="0.35">
      <c r="A67" t="s">
        <v>38</v>
      </c>
      <c r="B67">
        <v>1</v>
      </c>
      <c r="C67">
        <v>-2</v>
      </c>
      <c r="G67">
        <v>1</v>
      </c>
    </row>
    <row r="68" spans="1:7" x14ac:dyDescent="0.35">
      <c r="A68" t="s">
        <v>38</v>
      </c>
      <c r="B68">
        <v>1</v>
      </c>
      <c r="C68">
        <v>1</v>
      </c>
      <c r="G68">
        <v>1</v>
      </c>
    </row>
    <row r="69" spans="1:7" x14ac:dyDescent="0.35">
      <c r="A69" t="s">
        <v>32</v>
      </c>
      <c r="B69">
        <v>1</v>
      </c>
      <c r="C69">
        <v>0</v>
      </c>
      <c r="D69">
        <v>1</v>
      </c>
    </row>
    <row r="70" spans="1:7" x14ac:dyDescent="0.35">
      <c r="A70" t="s">
        <v>32</v>
      </c>
      <c r="B70">
        <v>1</v>
      </c>
      <c r="C70">
        <v>0</v>
      </c>
      <c r="D70">
        <v>1</v>
      </c>
    </row>
    <row r="71" spans="1:7" x14ac:dyDescent="0.35">
      <c r="A71" t="s">
        <v>32</v>
      </c>
      <c r="B71">
        <v>0</v>
      </c>
      <c r="C71">
        <v>2</v>
      </c>
      <c r="F71">
        <v>1</v>
      </c>
    </row>
    <row r="72" spans="1:7" x14ac:dyDescent="0.35">
      <c r="A72" t="s">
        <v>32</v>
      </c>
      <c r="B72">
        <v>0</v>
      </c>
      <c r="C72">
        <v>3</v>
      </c>
      <c r="F72">
        <v>1</v>
      </c>
    </row>
    <row r="73" spans="1:7" x14ac:dyDescent="0.35">
      <c r="A73" t="s">
        <v>32</v>
      </c>
      <c r="B73">
        <v>1</v>
      </c>
      <c r="C73">
        <v>0</v>
      </c>
      <c r="F73">
        <v>1</v>
      </c>
    </row>
    <row r="74" spans="1:7" x14ac:dyDescent="0.35">
      <c r="A74" t="s">
        <v>32</v>
      </c>
      <c r="B74">
        <v>0</v>
      </c>
      <c r="C74">
        <v>-4</v>
      </c>
      <c r="F74">
        <v>1</v>
      </c>
    </row>
    <row r="75" spans="1:7" x14ac:dyDescent="0.35">
      <c r="A75" t="s">
        <v>32</v>
      </c>
      <c r="B75">
        <v>1</v>
      </c>
      <c r="C75">
        <v>0</v>
      </c>
      <c r="D75">
        <v>1</v>
      </c>
    </row>
    <row r="76" spans="1:7" x14ac:dyDescent="0.35">
      <c r="A76" t="s">
        <v>32</v>
      </c>
      <c r="B76">
        <v>0</v>
      </c>
      <c r="C76">
        <v>-2</v>
      </c>
      <c r="F76">
        <v>1</v>
      </c>
    </row>
    <row r="77" spans="1:7" x14ac:dyDescent="0.35">
      <c r="A77" t="s">
        <v>38</v>
      </c>
      <c r="B77">
        <v>1</v>
      </c>
      <c r="C77">
        <v>-4</v>
      </c>
      <c r="G77">
        <v>1</v>
      </c>
    </row>
    <row r="78" spans="1:7" x14ac:dyDescent="0.35">
      <c r="A78" t="s">
        <v>38</v>
      </c>
      <c r="B78">
        <v>1</v>
      </c>
      <c r="C78">
        <v>1</v>
      </c>
      <c r="G78">
        <v>1</v>
      </c>
    </row>
    <row r="79" spans="1:7" x14ac:dyDescent="0.35">
      <c r="A79" t="s">
        <v>32</v>
      </c>
      <c r="B79">
        <v>0</v>
      </c>
      <c r="C79">
        <v>-5</v>
      </c>
      <c r="F79">
        <v>1</v>
      </c>
    </row>
    <row r="80" spans="1:7" x14ac:dyDescent="0.35">
      <c r="A80" t="s">
        <v>32</v>
      </c>
      <c r="B80">
        <v>0</v>
      </c>
      <c r="C80">
        <v>2</v>
      </c>
      <c r="F80">
        <v>1</v>
      </c>
    </row>
    <row r="81" spans="1:7" x14ac:dyDescent="0.35">
      <c r="A81" t="s">
        <v>32</v>
      </c>
      <c r="B81">
        <v>0</v>
      </c>
      <c r="C81">
        <v>-4</v>
      </c>
      <c r="F81">
        <v>1</v>
      </c>
    </row>
    <row r="82" spans="1:7" x14ac:dyDescent="0.35">
      <c r="A82" t="s">
        <v>38</v>
      </c>
      <c r="B82">
        <v>0</v>
      </c>
      <c r="C82">
        <v>0</v>
      </c>
      <c r="E82">
        <v>1</v>
      </c>
    </row>
    <row r="83" spans="1:7" x14ac:dyDescent="0.35">
      <c r="A83" t="s">
        <v>38</v>
      </c>
      <c r="B83">
        <v>1</v>
      </c>
      <c r="C83">
        <v>4</v>
      </c>
      <c r="G83">
        <v>1</v>
      </c>
    </row>
    <row r="84" spans="1:7" x14ac:dyDescent="0.35">
      <c r="A84" t="s">
        <v>32</v>
      </c>
      <c r="B84">
        <v>1</v>
      </c>
      <c r="C84">
        <v>0</v>
      </c>
      <c r="D84">
        <v>1</v>
      </c>
    </row>
    <row r="85" spans="1:7" x14ac:dyDescent="0.35">
      <c r="A85" t="s">
        <v>32</v>
      </c>
      <c r="B85">
        <v>0</v>
      </c>
      <c r="C85">
        <v>-2</v>
      </c>
      <c r="F85">
        <v>1</v>
      </c>
    </row>
    <row r="86" spans="1:7" x14ac:dyDescent="0.35">
      <c r="A86" t="s">
        <v>32</v>
      </c>
      <c r="B86">
        <v>0</v>
      </c>
      <c r="C86">
        <v>1</v>
      </c>
      <c r="F86">
        <v>1</v>
      </c>
    </row>
    <row r="87" spans="1:7" x14ac:dyDescent="0.35">
      <c r="A87" t="s">
        <v>38</v>
      </c>
      <c r="B87">
        <v>1</v>
      </c>
      <c r="C87">
        <v>3</v>
      </c>
      <c r="G87">
        <v>1</v>
      </c>
    </row>
    <row r="88" spans="1:7" x14ac:dyDescent="0.35">
      <c r="A88" t="s">
        <v>32</v>
      </c>
      <c r="B88">
        <v>1</v>
      </c>
      <c r="C88">
        <v>0</v>
      </c>
      <c r="D88">
        <v>1</v>
      </c>
    </row>
    <row r="89" spans="1:7" x14ac:dyDescent="0.35">
      <c r="A89" t="s">
        <v>32</v>
      </c>
      <c r="B89">
        <v>0</v>
      </c>
      <c r="C89">
        <v>1</v>
      </c>
      <c r="F89">
        <v>1</v>
      </c>
    </row>
    <row r="90" spans="1:7" x14ac:dyDescent="0.35">
      <c r="A90" t="s">
        <v>32</v>
      </c>
      <c r="B90">
        <v>1</v>
      </c>
      <c r="C90">
        <v>0</v>
      </c>
      <c r="D90">
        <v>1</v>
      </c>
    </row>
    <row r="91" spans="1:7" x14ac:dyDescent="0.35">
      <c r="A91" t="s">
        <v>38</v>
      </c>
      <c r="B91">
        <v>1</v>
      </c>
      <c r="C91">
        <v>4</v>
      </c>
      <c r="G91">
        <v>1</v>
      </c>
    </row>
    <row r="92" spans="1:7" x14ac:dyDescent="0.35">
      <c r="A92" t="s">
        <v>32</v>
      </c>
      <c r="B92">
        <v>0</v>
      </c>
      <c r="C92">
        <v>-4</v>
      </c>
      <c r="F92">
        <v>1</v>
      </c>
    </row>
    <row r="93" spans="1:7" x14ac:dyDescent="0.35">
      <c r="A93" t="s">
        <v>32</v>
      </c>
      <c r="B93">
        <v>1</v>
      </c>
      <c r="C93">
        <v>0</v>
      </c>
      <c r="D93">
        <v>1</v>
      </c>
    </row>
    <row r="94" spans="1:7" x14ac:dyDescent="0.35">
      <c r="A94" t="s">
        <v>38</v>
      </c>
      <c r="B94">
        <v>1</v>
      </c>
      <c r="C94">
        <v>-3</v>
      </c>
      <c r="G94">
        <v>1</v>
      </c>
    </row>
    <row r="95" spans="1:7" x14ac:dyDescent="0.35">
      <c r="A95" t="s">
        <v>32</v>
      </c>
      <c r="B95">
        <v>1</v>
      </c>
      <c r="C95">
        <v>0</v>
      </c>
      <c r="D95">
        <v>1</v>
      </c>
    </row>
    <row r="96" spans="1:7" x14ac:dyDescent="0.35">
      <c r="A96" t="s">
        <v>32</v>
      </c>
      <c r="B96">
        <v>0</v>
      </c>
      <c r="C96">
        <v>-5</v>
      </c>
      <c r="F96">
        <v>1</v>
      </c>
    </row>
    <row r="97" spans="1:7" x14ac:dyDescent="0.35">
      <c r="A97" t="s">
        <v>32</v>
      </c>
      <c r="B97">
        <v>1</v>
      </c>
      <c r="C97">
        <v>0</v>
      </c>
      <c r="D97">
        <v>1</v>
      </c>
    </row>
    <row r="98" spans="1:7" x14ac:dyDescent="0.35">
      <c r="A98" t="s">
        <v>38</v>
      </c>
      <c r="B98">
        <v>1</v>
      </c>
      <c r="C98">
        <v>-5</v>
      </c>
      <c r="G98">
        <v>1</v>
      </c>
    </row>
    <row r="99" spans="1:7" x14ac:dyDescent="0.35">
      <c r="A99" t="s">
        <v>38</v>
      </c>
      <c r="B99">
        <v>0</v>
      </c>
      <c r="C99">
        <v>0</v>
      </c>
      <c r="E99">
        <v>1</v>
      </c>
    </row>
    <row r="100" spans="1:7" x14ac:dyDescent="0.35">
      <c r="A100" t="s">
        <v>32</v>
      </c>
      <c r="B100">
        <v>0</v>
      </c>
      <c r="C100">
        <v>-3</v>
      </c>
      <c r="F100">
        <v>1</v>
      </c>
    </row>
    <row r="101" spans="1:7" x14ac:dyDescent="0.35">
      <c r="A101" t="s">
        <v>38</v>
      </c>
      <c r="B101">
        <v>1</v>
      </c>
      <c r="C101">
        <v>3</v>
      </c>
      <c r="G101">
        <v>1</v>
      </c>
    </row>
    <row r="104" spans="1:7" x14ac:dyDescent="0.35">
      <c r="D104">
        <f>SUM(D2:D101)</f>
        <v>33</v>
      </c>
      <c r="E104">
        <f>SUM(E2:E101)</f>
        <v>12</v>
      </c>
      <c r="F104">
        <f>SUM(F2:F101)</f>
        <v>37</v>
      </c>
      <c r="G104">
        <f>SUM(G2:G101)</f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532194_signal detection_2025-09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ASHISH</dc:creator>
  <cp:lastModifiedBy>ABHISHEK ASHISH</cp:lastModifiedBy>
  <dcterms:created xsi:type="dcterms:W3CDTF">2025-09-11T12:01:26Z</dcterms:created>
  <dcterms:modified xsi:type="dcterms:W3CDTF">2025-09-11T12:47:06Z</dcterms:modified>
</cp:coreProperties>
</file>