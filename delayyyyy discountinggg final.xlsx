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3" yWindow="52" windowWidth="19797" windowHeight="7791" activeTab="4"/>
  </bookViews>
  <sheets>
    <sheet name="participant1" sheetId="1" r:id="rId1"/>
    <sheet name="participant2" sheetId="2" r:id="rId2"/>
    <sheet name="participant3" sheetId="3" r:id="rId3"/>
    <sheet name="participant4" sheetId="4" r:id="rId4"/>
    <sheet name="Sheet5" sheetId="5" r:id="rId5"/>
    <sheet name="Sheet6" sheetId="6" r:id="rId6"/>
    <sheet name="Sheet7" sheetId="7" r:id="rId7"/>
    <sheet name="Sheet8" sheetId="8" r:id="rId8"/>
  </sheets>
  <calcPr calcId="144525"/>
</workbook>
</file>

<file path=xl/calcChain.xml><?xml version="1.0" encoding="utf-8"?>
<calcChain xmlns="http://schemas.openxmlformats.org/spreadsheetml/2006/main">
  <c r="J89" i="8" l="1"/>
  <c r="G96" i="8"/>
  <c r="G89" i="8"/>
  <c r="G86" i="8"/>
  <c r="G81" i="8"/>
  <c r="G90" i="6"/>
  <c r="I85" i="6" s="1"/>
  <c r="I86" i="7"/>
  <c r="G90" i="7"/>
  <c r="G81" i="7"/>
  <c r="G82" i="6"/>
  <c r="G81" i="5"/>
  <c r="E52" i="8" l="1"/>
  <c r="E22" i="8"/>
  <c r="E62" i="8"/>
  <c r="E72" i="8"/>
  <c r="E12" i="8"/>
  <c r="E32" i="8"/>
  <c r="E42" i="8"/>
  <c r="E92" i="8"/>
  <c r="E82" i="8"/>
  <c r="E23" i="8"/>
  <c r="E93" i="8"/>
  <c r="E63" i="8"/>
  <c r="E13" i="8"/>
  <c r="E53" i="8"/>
  <c r="E73" i="8"/>
  <c r="E83" i="8"/>
  <c r="E33" i="8"/>
  <c r="E3" i="8"/>
  <c r="E43" i="8"/>
  <c r="E54" i="8"/>
  <c r="E74" i="8"/>
  <c r="E44" i="8"/>
  <c r="E14" i="8"/>
  <c r="E94" i="8"/>
  <c r="E64" i="8"/>
  <c r="E4" i="8"/>
  <c r="E34" i="8"/>
  <c r="E84" i="8"/>
  <c r="E24" i="8"/>
  <c r="E25" i="8"/>
  <c r="E15" i="8"/>
  <c r="E45" i="8"/>
  <c r="E75" i="8"/>
  <c r="E95" i="8"/>
  <c r="E65" i="8"/>
  <c r="E55" i="8"/>
  <c r="E85" i="8"/>
  <c r="E35" i="8"/>
  <c r="E5" i="8"/>
  <c r="E16" i="8"/>
  <c r="E96" i="8"/>
  <c r="E46" i="8"/>
  <c r="E36" i="8"/>
  <c r="E6" i="8"/>
  <c r="E66" i="8"/>
  <c r="E26" i="8"/>
  <c r="E56" i="8"/>
  <c r="E76" i="8"/>
  <c r="E86" i="8"/>
  <c r="E87" i="8"/>
  <c r="E7" i="8"/>
  <c r="E67" i="8"/>
  <c r="E97" i="8"/>
  <c r="E57" i="8"/>
  <c r="E17" i="8"/>
  <c r="E37" i="8"/>
  <c r="E27" i="8"/>
  <c r="E47" i="8"/>
  <c r="E77" i="8"/>
  <c r="E68" i="8"/>
  <c r="E88" i="8"/>
  <c r="E18" i="8"/>
  <c r="E98" i="8"/>
  <c r="E38" i="8"/>
  <c r="E78" i="8"/>
  <c r="E58" i="8"/>
  <c r="E8" i="8"/>
  <c r="E28" i="8"/>
  <c r="E48" i="8"/>
  <c r="E99" i="8"/>
  <c r="E39" i="8"/>
  <c r="E69" i="8"/>
  <c r="E89" i="8"/>
  <c r="E49" i="8"/>
  <c r="E19" i="8"/>
  <c r="E9" i="8"/>
  <c r="E79" i="8"/>
  <c r="E59" i="8"/>
  <c r="E29" i="8"/>
  <c r="E30" i="8"/>
  <c r="E20" i="8"/>
  <c r="E100" i="8"/>
  <c r="E60" i="8"/>
  <c r="E40" i="8"/>
  <c r="E80" i="8"/>
  <c r="E10" i="8"/>
  <c r="E70" i="8"/>
  <c r="E90" i="8"/>
  <c r="E50" i="8"/>
  <c r="E81" i="8"/>
  <c r="E51" i="8"/>
  <c r="E61" i="8"/>
  <c r="E41" i="8"/>
  <c r="E101" i="8"/>
  <c r="E11" i="8"/>
  <c r="E71" i="8"/>
  <c r="E21" i="8"/>
  <c r="E31" i="8"/>
  <c r="E91" i="8"/>
  <c r="E2" i="8"/>
  <c r="E62" i="7"/>
  <c r="E52" i="7"/>
  <c r="E42" i="7"/>
  <c r="E22" i="7"/>
  <c r="E32" i="7"/>
  <c r="E12" i="7"/>
  <c r="E82" i="7"/>
  <c r="E72" i="7"/>
  <c r="E92" i="7"/>
  <c r="E53" i="7"/>
  <c r="E3" i="7"/>
  <c r="E43" i="7"/>
  <c r="E93" i="7"/>
  <c r="E83" i="7"/>
  <c r="E23" i="7"/>
  <c r="E13" i="7"/>
  <c r="E73" i="7"/>
  <c r="E63" i="7"/>
  <c r="E33" i="7"/>
  <c r="E94" i="7"/>
  <c r="E24" i="7"/>
  <c r="E64" i="7"/>
  <c r="E34" i="7"/>
  <c r="E44" i="7"/>
  <c r="E74" i="7"/>
  <c r="E14" i="7"/>
  <c r="E4" i="7"/>
  <c r="E54" i="7"/>
  <c r="E84" i="7"/>
  <c r="E45" i="7"/>
  <c r="E95" i="7"/>
  <c r="E25" i="7"/>
  <c r="E85" i="7"/>
  <c r="E35" i="7"/>
  <c r="E75" i="7"/>
  <c r="E5" i="7"/>
  <c r="E55" i="7"/>
  <c r="E15" i="7"/>
  <c r="E65" i="7"/>
  <c r="E26" i="7"/>
  <c r="E66" i="7"/>
  <c r="E16" i="7"/>
  <c r="E36" i="7"/>
  <c r="E56" i="7"/>
  <c r="E46" i="7"/>
  <c r="E6" i="7"/>
  <c r="E86" i="7"/>
  <c r="E96" i="7"/>
  <c r="E76" i="7"/>
  <c r="E17" i="7"/>
  <c r="E77" i="7"/>
  <c r="E7" i="7"/>
  <c r="E67" i="7"/>
  <c r="E57" i="7"/>
  <c r="E27" i="7"/>
  <c r="E37" i="7"/>
  <c r="E87" i="7"/>
  <c r="E97" i="7"/>
  <c r="E47" i="7"/>
  <c r="E38" i="7"/>
  <c r="E28" i="7"/>
  <c r="E68" i="7"/>
  <c r="E18" i="7"/>
  <c r="E88" i="7"/>
  <c r="E48" i="7"/>
  <c r="E58" i="7"/>
  <c r="E98" i="7"/>
  <c r="E8" i="7"/>
  <c r="E78" i="7"/>
  <c r="E19" i="7"/>
  <c r="E59" i="7"/>
  <c r="E49" i="7"/>
  <c r="E29" i="7"/>
  <c r="E39" i="7"/>
  <c r="E89" i="7"/>
  <c r="E69" i="7"/>
  <c r="E79" i="7"/>
  <c r="E99" i="7"/>
  <c r="E9" i="7"/>
  <c r="E40" i="7"/>
  <c r="E70" i="7"/>
  <c r="E100" i="7"/>
  <c r="E20" i="7"/>
  <c r="E10" i="7"/>
  <c r="E80" i="7"/>
  <c r="E90" i="7"/>
  <c r="E60" i="7"/>
  <c r="E30" i="7"/>
  <c r="E50" i="7"/>
  <c r="E81" i="7"/>
  <c r="E71" i="7"/>
  <c r="E41" i="7"/>
  <c r="E21" i="7"/>
  <c r="E61" i="7"/>
  <c r="E91" i="7"/>
  <c r="E31" i="7"/>
  <c r="E51" i="7"/>
  <c r="E11" i="7"/>
  <c r="E101" i="7"/>
  <c r="E2" i="7"/>
  <c r="E22" i="6"/>
  <c r="E92" i="6"/>
  <c r="E2" i="6"/>
  <c r="E12" i="6"/>
  <c r="E62" i="6"/>
  <c r="E42" i="6"/>
  <c r="E82" i="6"/>
  <c r="E52" i="6"/>
  <c r="E72" i="6"/>
  <c r="E13" i="6"/>
  <c r="E73" i="6"/>
  <c r="E33" i="6"/>
  <c r="E53" i="6"/>
  <c r="E3" i="6"/>
  <c r="E93" i="6"/>
  <c r="E83" i="6"/>
  <c r="E63" i="6"/>
  <c r="E43" i="6"/>
  <c r="E23" i="6"/>
  <c r="E24" i="6"/>
  <c r="E4" i="6"/>
  <c r="E14" i="6"/>
  <c r="E74" i="6"/>
  <c r="E94" i="6"/>
  <c r="E54" i="6"/>
  <c r="E44" i="6"/>
  <c r="E64" i="6"/>
  <c r="E34" i="6"/>
  <c r="E84" i="6"/>
  <c r="E45" i="6"/>
  <c r="E25" i="6"/>
  <c r="E35" i="6"/>
  <c r="E55" i="6"/>
  <c r="E15" i="6"/>
  <c r="E5" i="6"/>
  <c r="E85" i="6"/>
  <c r="E65" i="6"/>
  <c r="E75" i="6"/>
  <c r="E95" i="6"/>
  <c r="E86" i="6"/>
  <c r="E76" i="6"/>
  <c r="E16" i="6"/>
  <c r="E26" i="6"/>
  <c r="E56" i="6"/>
  <c r="E36" i="6"/>
  <c r="E96" i="6"/>
  <c r="E6" i="6"/>
  <c r="E66" i="6"/>
  <c r="E46" i="6"/>
  <c r="E17" i="6"/>
  <c r="E77" i="6"/>
  <c r="E37" i="6"/>
  <c r="E87" i="6"/>
  <c r="E27" i="6"/>
  <c r="E7" i="6"/>
  <c r="E67" i="6"/>
  <c r="E57" i="6"/>
  <c r="E97" i="6"/>
  <c r="E47" i="6"/>
  <c r="E88" i="6"/>
  <c r="E68" i="6"/>
  <c r="E28" i="6"/>
  <c r="E18" i="6"/>
  <c r="E58" i="6"/>
  <c r="E98" i="6"/>
  <c r="E78" i="6"/>
  <c r="E48" i="6"/>
  <c r="E38" i="6"/>
  <c r="E8" i="6"/>
  <c r="E79" i="6"/>
  <c r="E69" i="6"/>
  <c r="E59" i="6"/>
  <c r="E9" i="6"/>
  <c r="E89" i="6"/>
  <c r="E49" i="6"/>
  <c r="E99" i="6"/>
  <c r="E29" i="6"/>
  <c r="E19" i="6"/>
  <c r="E39" i="6"/>
  <c r="E10" i="6"/>
  <c r="E100" i="6"/>
  <c r="E90" i="6"/>
  <c r="E80" i="6"/>
  <c r="E30" i="6"/>
  <c r="E60" i="6"/>
  <c r="E20" i="6"/>
  <c r="E70" i="6"/>
  <c r="E40" i="6"/>
  <c r="E50" i="6"/>
  <c r="E31" i="6"/>
  <c r="E41" i="6"/>
  <c r="E51" i="6"/>
  <c r="E61" i="6"/>
  <c r="E11" i="6"/>
  <c r="E71" i="6"/>
  <c r="E21" i="6"/>
  <c r="E81" i="6"/>
  <c r="E101" i="6"/>
  <c r="E91" i="6"/>
  <c r="E32" i="6"/>
  <c r="E92" i="5"/>
  <c r="E22" i="5"/>
  <c r="E2" i="5"/>
  <c r="E52" i="5"/>
  <c r="E62" i="5"/>
  <c r="E72" i="5"/>
  <c r="E42" i="5"/>
  <c r="E82" i="5"/>
  <c r="E32" i="5"/>
  <c r="E13" i="5"/>
  <c r="E63" i="5"/>
  <c r="E53" i="5"/>
  <c r="E93" i="5"/>
  <c r="E3" i="5"/>
  <c r="E33" i="5"/>
  <c r="E23" i="5"/>
  <c r="E83" i="5"/>
  <c r="E73" i="5"/>
  <c r="E43" i="5"/>
  <c r="E54" i="5"/>
  <c r="E24" i="5"/>
  <c r="E94" i="5"/>
  <c r="E14" i="5"/>
  <c r="E44" i="5"/>
  <c r="E84" i="5"/>
  <c r="E74" i="5"/>
  <c r="E34" i="5"/>
  <c r="E4" i="5"/>
  <c r="E64" i="5"/>
  <c r="E15" i="5"/>
  <c r="E35" i="5"/>
  <c r="E85" i="5"/>
  <c r="E5" i="5"/>
  <c r="E55" i="5"/>
  <c r="E25" i="5"/>
  <c r="E65" i="5"/>
  <c r="E75" i="5"/>
  <c r="E45" i="5"/>
  <c r="E95" i="5"/>
  <c r="E56" i="5"/>
  <c r="E66" i="5"/>
  <c r="E76" i="5"/>
  <c r="E16" i="5"/>
  <c r="E6" i="5"/>
  <c r="E46" i="5"/>
  <c r="E26" i="5"/>
  <c r="E96" i="5"/>
  <c r="E86" i="5"/>
  <c r="E36" i="5"/>
  <c r="E7" i="5"/>
  <c r="E17" i="5"/>
  <c r="E37" i="5"/>
  <c r="E97" i="5"/>
  <c r="E77" i="5"/>
  <c r="E67" i="5"/>
  <c r="E27" i="5"/>
  <c r="E57" i="5"/>
  <c r="E47" i="5"/>
  <c r="E87" i="5"/>
  <c r="E58" i="5"/>
  <c r="E68" i="5"/>
  <c r="E48" i="5"/>
  <c r="E78" i="5"/>
  <c r="E88" i="5"/>
  <c r="E18" i="5"/>
  <c r="E8" i="5"/>
  <c r="E38" i="5"/>
  <c r="E28" i="5"/>
  <c r="E98" i="5"/>
  <c r="E29" i="5"/>
  <c r="E49" i="5"/>
  <c r="E89" i="5"/>
  <c r="E39" i="5"/>
  <c r="E19" i="5"/>
  <c r="E79" i="5"/>
  <c r="E9" i="5"/>
  <c r="E69" i="5"/>
  <c r="E99" i="5"/>
  <c r="E59" i="5"/>
  <c r="E60" i="5"/>
  <c r="E100" i="5"/>
  <c r="E30" i="5"/>
  <c r="E40" i="5"/>
  <c r="E20" i="5"/>
  <c r="E80" i="5"/>
  <c r="E90" i="5"/>
  <c r="E50" i="5"/>
  <c r="E10" i="5"/>
  <c r="E70" i="5"/>
  <c r="E11" i="5"/>
  <c r="E81" i="5"/>
  <c r="E61" i="5"/>
  <c r="E51" i="5"/>
  <c r="E31" i="5"/>
  <c r="E41" i="5"/>
  <c r="E101" i="5"/>
  <c r="E71" i="5"/>
  <c r="E91" i="5"/>
  <c r="E21" i="5"/>
  <c r="E12" i="5"/>
</calcChain>
</file>

<file path=xl/sharedStrings.xml><?xml version="1.0" encoding="utf-8"?>
<sst xmlns="http://schemas.openxmlformats.org/spreadsheetml/2006/main" count="4148" uniqueCount="50">
  <si>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</si>
  <si>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</si>
  <si>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</si>
  <si>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</si>
  <si>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</si>
  <si>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</si>
  <si>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</si>
  <si>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</si>
  <si>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</si>
  <si>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</si>
  <si>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</si>
  <si>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</si>
  <si>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</si>
  <si>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</si>
  <si>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</si>
  <si>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</si>
  <si>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</si>
  <si>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</si>
  <si>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</si>
  <si>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</si>
  <si>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</si>
  <si>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</si>
  <si>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</si>
  <si>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</si>
  <si>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</si>
  <si>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</si>
  <si>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</si>
  <si>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</si>
  <si>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</si>
  <si>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</si>
  <si>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</si>
  <si>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</si>
  <si>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</si>
  <si>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</si>
  <si>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test1</t>
  </si>
  <si>
    <t>2025-11-04_09h54.56.125</t>
  </si>
  <si>
    <t>delay discounting</t>
  </si>
  <si>
    <t>2025.1.1</t>
  </si>
  <si>
    <t>2025-11-04 09h55.09.696016 +0530</t>
  </si>
  <si>
    <t>l</t>
  </si>
  <si>
    <t>test2</t>
  </si>
  <si>
    <t>2025-11-04_09h59.57.462</t>
  </si>
  <si>
    <t>2025-11-04 10h00.09.562576 +0530</t>
  </si>
  <si>
    <t>test3</t>
  </si>
  <si>
    <t>2025-11-04_10h05.07.778</t>
  </si>
  <si>
    <t>2025-11-04 10h05.19.995049 +0530</t>
  </si>
  <si>
    <t>test4</t>
  </si>
  <si>
    <t>2025-11-04_10h09.27.586</t>
  </si>
  <si>
    <t>2025-11-04 10h10.03.081973 +0530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</si>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</sst>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workbookViewId="0">
      <selection activeCell="G1" sqref="G1:G1048576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1">
        <v>110</v>
      </c>
      <c r="B2" s="1">
        <v>135</v>
      </c>
      <c r="C2" s="1">
        <v>270</v>
      </c>
      <c r="D2" s="1">
        <v>0</v>
      </c>
      <c r="E2" s="1">
        <v>0</v>
      </c>
      <c r="F2" s="1">
        <v>0</v>
      </c>
      <c r="G2" s="1" t="s">
        <v>32</v>
      </c>
      <c r="H2" s="1">
        <v>4.3440005999946099</v>
      </c>
      <c r="I2" s="1" t="s">
        <v>33</v>
      </c>
      <c r="J2" s="1">
        <v>0</v>
      </c>
      <c r="K2" s="1">
        <v>0</v>
      </c>
      <c r="L2" s="1">
        <v>0</v>
      </c>
      <c r="M2" s="1">
        <v>9</v>
      </c>
      <c r="N2" s="1">
        <v>0.69557640000130005</v>
      </c>
      <c r="O2" s="1"/>
      <c r="P2" s="1">
        <v>0.67505659999733303</v>
      </c>
      <c r="Q2" s="1">
        <v>0.69557640000130005</v>
      </c>
      <c r="R2" s="1">
        <v>1.01200989999779</v>
      </c>
      <c r="S2" s="1">
        <v>1.01200989999779</v>
      </c>
      <c r="T2" s="1">
        <v>1.6954751000012001</v>
      </c>
      <c r="U2" s="1">
        <v>5.3993914999955397</v>
      </c>
      <c r="V2" s="1" t="s">
        <v>32</v>
      </c>
      <c r="W2" s="1">
        <v>4.3440005999946099</v>
      </c>
      <c r="X2" s="1" t="s">
        <v>33</v>
      </c>
      <c r="Y2" s="1" t="s">
        <v>34</v>
      </c>
      <c r="Z2" s="1">
        <v>1</v>
      </c>
      <c r="AA2" s="1" t="s">
        <v>35</v>
      </c>
      <c r="AB2" s="1" t="s">
        <v>36</v>
      </c>
      <c r="AC2" s="1"/>
      <c r="AD2" s="1" t="s">
        <v>37</v>
      </c>
      <c r="AE2" s="1">
        <v>60.023216980676203</v>
      </c>
      <c r="AF2" s="1" t="s">
        <v>38</v>
      </c>
    </row>
    <row r="3" spans="1:32" x14ac:dyDescent="0.35">
      <c r="A3" s="1">
        <v>11</v>
      </c>
      <c r="B3" s="1">
        <v>30</v>
      </c>
      <c r="C3" s="1">
        <v>7</v>
      </c>
      <c r="D3" s="1">
        <v>1</v>
      </c>
      <c r="E3" s="1">
        <v>1</v>
      </c>
      <c r="F3" s="1">
        <v>0</v>
      </c>
      <c r="G3" s="1" t="s">
        <v>39</v>
      </c>
      <c r="H3" s="1">
        <v>3.0411076000018502</v>
      </c>
      <c r="I3" s="1" t="s">
        <v>33</v>
      </c>
      <c r="J3" s="1">
        <v>0</v>
      </c>
      <c r="K3" s="1">
        <v>1</v>
      </c>
      <c r="L3" s="1">
        <v>1</v>
      </c>
      <c r="M3" s="1">
        <v>0</v>
      </c>
      <c r="N3" s="1">
        <v>5.4281344999981203</v>
      </c>
      <c r="O3" s="1"/>
      <c r="P3" s="1">
        <v>5.4063692999989099</v>
      </c>
      <c r="Q3" s="1">
        <v>5.4281344999981203</v>
      </c>
      <c r="R3" s="1">
        <v>6.4115101999996096</v>
      </c>
      <c r="S3" s="1">
        <v>6.4115101999996096</v>
      </c>
      <c r="T3" s="1">
        <v>6.4279495000009703</v>
      </c>
      <c r="U3" s="1">
        <v>9.4613946999961591</v>
      </c>
      <c r="V3" s="1" t="s">
        <v>39</v>
      </c>
      <c r="W3" s="1">
        <v>3.0411076000018502</v>
      </c>
      <c r="X3" s="1" t="s">
        <v>33</v>
      </c>
      <c r="Y3" s="1" t="s">
        <v>34</v>
      </c>
      <c r="Z3" s="1">
        <v>1</v>
      </c>
      <c r="AA3" s="1" t="s">
        <v>35</v>
      </c>
      <c r="AB3" s="1" t="s">
        <v>36</v>
      </c>
      <c r="AC3" s="1"/>
      <c r="AD3" s="1" t="s">
        <v>37</v>
      </c>
      <c r="AE3" s="1">
        <v>60.023216980676203</v>
      </c>
      <c r="AF3" s="1" t="s">
        <v>38</v>
      </c>
    </row>
    <row r="4" spans="1:32" x14ac:dyDescent="0.35">
      <c r="A4" s="1">
        <v>88</v>
      </c>
      <c r="B4" s="1">
        <v>105</v>
      </c>
      <c r="C4" s="1">
        <v>200</v>
      </c>
      <c r="D4" s="1">
        <v>2</v>
      </c>
      <c r="E4" s="1">
        <v>2</v>
      </c>
      <c r="F4" s="1">
        <v>0</v>
      </c>
      <c r="G4" s="1" t="s">
        <v>32</v>
      </c>
      <c r="H4" s="1">
        <v>5.9588102999987296</v>
      </c>
      <c r="I4" s="1" t="s">
        <v>33</v>
      </c>
      <c r="J4" s="1">
        <v>0</v>
      </c>
      <c r="K4" s="1">
        <v>2</v>
      </c>
      <c r="L4" s="1">
        <v>2</v>
      </c>
      <c r="M4" s="1">
        <v>7</v>
      </c>
      <c r="N4" s="1">
        <v>9.4944782000020496</v>
      </c>
      <c r="O4" s="1"/>
      <c r="P4" s="1">
        <v>9.4760271999984909</v>
      </c>
      <c r="Q4" s="1">
        <v>9.4944782000020496</v>
      </c>
      <c r="R4" s="1">
        <v>10.4606282000022</v>
      </c>
      <c r="S4" s="1">
        <v>10.4606282000022</v>
      </c>
      <c r="T4" s="1">
        <v>10.4940339999957</v>
      </c>
      <c r="U4" s="1">
        <v>16.4272869999986</v>
      </c>
      <c r="V4" s="1" t="s">
        <v>32</v>
      </c>
      <c r="W4" s="1">
        <v>5.9588102999987296</v>
      </c>
      <c r="X4" s="1" t="s">
        <v>33</v>
      </c>
      <c r="Y4" s="1" t="s">
        <v>34</v>
      </c>
      <c r="Z4" s="1">
        <v>1</v>
      </c>
      <c r="AA4" s="1" t="s">
        <v>35</v>
      </c>
      <c r="AB4" s="1" t="s">
        <v>36</v>
      </c>
      <c r="AC4" s="1"/>
      <c r="AD4" s="1" t="s">
        <v>37</v>
      </c>
      <c r="AE4" s="1">
        <v>60.023216980676203</v>
      </c>
      <c r="AF4" s="1" t="s">
        <v>38</v>
      </c>
    </row>
    <row r="5" spans="1:32" x14ac:dyDescent="0.35">
      <c r="A5" s="1">
        <v>78</v>
      </c>
      <c r="B5" s="1">
        <v>80</v>
      </c>
      <c r="C5" s="1">
        <v>162</v>
      </c>
      <c r="D5" s="1">
        <v>3</v>
      </c>
      <c r="E5" s="1">
        <v>3</v>
      </c>
      <c r="F5" s="1">
        <v>0</v>
      </c>
      <c r="G5" s="1" t="s">
        <v>32</v>
      </c>
      <c r="H5" s="1">
        <v>1.3747215999974201</v>
      </c>
      <c r="I5" s="1" t="s">
        <v>33</v>
      </c>
      <c r="J5" s="1">
        <v>0</v>
      </c>
      <c r="K5" s="1">
        <v>3</v>
      </c>
      <c r="L5" s="1">
        <v>3</v>
      </c>
      <c r="M5" s="1">
        <v>6</v>
      </c>
      <c r="N5" s="1">
        <v>16.459599100002301</v>
      </c>
      <c r="O5" s="1"/>
      <c r="P5" s="1">
        <v>16.442050400000799</v>
      </c>
      <c r="Q5" s="1">
        <v>16.459599100002301</v>
      </c>
      <c r="R5" s="1">
        <v>17.442816700000499</v>
      </c>
      <c r="S5" s="1">
        <v>17.442816700000499</v>
      </c>
      <c r="T5" s="1">
        <v>17.459466499996701</v>
      </c>
      <c r="U5" s="1">
        <v>18.826696999996699</v>
      </c>
      <c r="V5" s="1" t="s">
        <v>32</v>
      </c>
      <c r="W5" s="1">
        <v>1.3747215999974201</v>
      </c>
      <c r="X5" s="1" t="s">
        <v>33</v>
      </c>
      <c r="Y5" s="1" t="s">
        <v>34</v>
      </c>
      <c r="Z5" s="1">
        <v>1</v>
      </c>
      <c r="AA5" s="1" t="s">
        <v>35</v>
      </c>
      <c r="AB5" s="1" t="s">
        <v>36</v>
      </c>
      <c r="AC5" s="1"/>
      <c r="AD5" s="1" t="s">
        <v>37</v>
      </c>
      <c r="AE5" s="1">
        <v>60.023216980676203</v>
      </c>
      <c r="AF5" s="1" t="s">
        <v>38</v>
      </c>
    </row>
    <row r="6" spans="1:32" x14ac:dyDescent="0.35">
      <c r="A6" s="1">
        <v>49</v>
      </c>
      <c r="B6" s="1">
        <v>60</v>
      </c>
      <c r="C6" s="1">
        <v>89</v>
      </c>
      <c r="D6" s="1">
        <v>4</v>
      </c>
      <c r="E6" s="1">
        <v>4</v>
      </c>
      <c r="F6" s="1">
        <v>0</v>
      </c>
      <c r="G6" s="1" t="s">
        <v>32</v>
      </c>
      <c r="H6" s="1">
        <v>1.1930831999998099</v>
      </c>
      <c r="I6" s="1" t="s">
        <v>33</v>
      </c>
      <c r="J6" s="1">
        <v>0</v>
      </c>
      <c r="K6" s="1">
        <v>4</v>
      </c>
      <c r="L6" s="1">
        <v>4</v>
      </c>
      <c r="M6" s="1">
        <v>4</v>
      </c>
      <c r="N6" s="1">
        <v>18.859194500000701</v>
      </c>
      <c r="O6" s="1"/>
      <c r="P6" s="1">
        <v>18.841113599999499</v>
      </c>
      <c r="Q6" s="1">
        <v>18.859194500000701</v>
      </c>
      <c r="R6" s="1">
        <v>19.842414300001099</v>
      </c>
      <c r="S6" s="1">
        <v>19.842414300001099</v>
      </c>
      <c r="T6" s="1">
        <v>19.859011799999202</v>
      </c>
      <c r="U6" s="1">
        <v>21.0429330999977</v>
      </c>
      <c r="V6" s="1" t="s">
        <v>32</v>
      </c>
      <c r="W6" s="1">
        <v>1.1930831999998099</v>
      </c>
      <c r="X6" s="1" t="s">
        <v>33</v>
      </c>
      <c r="Y6" s="1" t="s">
        <v>34</v>
      </c>
      <c r="Z6" s="1">
        <v>1</v>
      </c>
      <c r="AA6" s="1" t="s">
        <v>35</v>
      </c>
      <c r="AB6" s="1" t="s">
        <v>36</v>
      </c>
      <c r="AC6" s="1"/>
      <c r="AD6" s="1" t="s">
        <v>37</v>
      </c>
      <c r="AE6" s="1">
        <v>60.023216980676203</v>
      </c>
      <c r="AF6" s="1" t="s">
        <v>38</v>
      </c>
    </row>
    <row r="7" spans="1:32" x14ac:dyDescent="0.35">
      <c r="A7" s="1">
        <v>40</v>
      </c>
      <c r="B7" s="1">
        <v>55</v>
      </c>
      <c r="C7" s="1">
        <v>62</v>
      </c>
      <c r="D7" s="1">
        <v>5</v>
      </c>
      <c r="E7" s="1">
        <v>5</v>
      </c>
      <c r="F7" s="1">
        <v>0</v>
      </c>
      <c r="G7" s="1" t="s">
        <v>32</v>
      </c>
      <c r="H7" s="1">
        <v>2.1542421999984001</v>
      </c>
      <c r="I7" s="1" t="s">
        <v>33</v>
      </c>
      <c r="J7" s="1">
        <v>0</v>
      </c>
      <c r="K7" s="1">
        <v>5</v>
      </c>
      <c r="L7" s="1">
        <v>5</v>
      </c>
      <c r="M7" s="1">
        <v>3</v>
      </c>
      <c r="N7" s="1">
        <v>21.0592302000004</v>
      </c>
      <c r="O7" s="1"/>
      <c r="P7" s="1">
        <v>21.0473638999974</v>
      </c>
      <c r="Q7" s="1">
        <v>21.0592302000004</v>
      </c>
      <c r="R7" s="1">
        <v>22.058644999997298</v>
      </c>
      <c r="S7" s="1">
        <v>22.058644999997298</v>
      </c>
      <c r="T7" s="1">
        <v>22.058644999997298</v>
      </c>
      <c r="U7" s="1">
        <v>24.225911399997099</v>
      </c>
      <c r="V7" s="1" t="s">
        <v>32</v>
      </c>
      <c r="W7" s="1">
        <v>2.1542421999984001</v>
      </c>
      <c r="X7" s="1" t="s">
        <v>33</v>
      </c>
      <c r="Y7" s="1" t="s">
        <v>34</v>
      </c>
      <c r="Z7" s="1">
        <v>1</v>
      </c>
      <c r="AA7" s="1" t="s">
        <v>35</v>
      </c>
      <c r="AB7" s="1" t="s">
        <v>36</v>
      </c>
      <c r="AC7" s="1"/>
      <c r="AD7" s="1" t="s">
        <v>37</v>
      </c>
      <c r="AE7" s="1">
        <v>60.023216980676203</v>
      </c>
      <c r="AF7" s="1" t="s">
        <v>38</v>
      </c>
    </row>
    <row r="8" spans="1:32" x14ac:dyDescent="0.35">
      <c r="A8" s="1">
        <v>27</v>
      </c>
      <c r="B8" s="1">
        <v>50</v>
      </c>
      <c r="C8" s="1">
        <v>21</v>
      </c>
      <c r="D8" s="1">
        <v>6</v>
      </c>
      <c r="E8" s="1">
        <v>6</v>
      </c>
      <c r="F8" s="1">
        <v>0</v>
      </c>
      <c r="G8" s="1" t="s">
        <v>32</v>
      </c>
      <c r="H8" s="1">
        <v>2.87021439999807</v>
      </c>
      <c r="I8" s="1" t="s">
        <v>33</v>
      </c>
      <c r="J8" s="1">
        <v>0</v>
      </c>
      <c r="K8" s="1">
        <v>6</v>
      </c>
      <c r="L8" s="1">
        <v>6</v>
      </c>
      <c r="M8" s="1">
        <v>2</v>
      </c>
      <c r="N8" s="1">
        <v>24.2416018000003</v>
      </c>
      <c r="O8" s="1"/>
      <c r="P8" s="1">
        <v>24.2330377999969</v>
      </c>
      <c r="Q8" s="1">
        <v>24.2416018000003</v>
      </c>
      <c r="R8" s="1">
        <v>25.241500600001</v>
      </c>
      <c r="S8" s="1">
        <v>25.241500600001</v>
      </c>
      <c r="T8" s="1">
        <v>25.241500600001</v>
      </c>
      <c r="U8" s="1">
        <v>28.125632099996398</v>
      </c>
      <c r="V8" s="1" t="s">
        <v>32</v>
      </c>
      <c r="W8" s="1">
        <v>2.87021439999807</v>
      </c>
      <c r="X8" s="1" t="s">
        <v>33</v>
      </c>
      <c r="Y8" s="1" t="s">
        <v>34</v>
      </c>
      <c r="Z8" s="1">
        <v>1</v>
      </c>
      <c r="AA8" s="1" t="s">
        <v>35</v>
      </c>
      <c r="AB8" s="1" t="s">
        <v>36</v>
      </c>
      <c r="AC8" s="1"/>
      <c r="AD8" s="1" t="s">
        <v>37</v>
      </c>
      <c r="AE8" s="1">
        <v>60.023216980676203</v>
      </c>
      <c r="AF8" s="1" t="s">
        <v>38</v>
      </c>
    </row>
    <row r="9" spans="1:32" x14ac:dyDescent="0.35">
      <c r="A9" s="1">
        <v>67</v>
      </c>
      <c r="B9" s="1">
        <v>75</v>
      </c>
      <c r="C9" s="1">
        <v>119</v>
      </c>
      <c r="D9" s="1">
        <v>7</v>
      </c>
      <c r="E9" s="1">
        <v>7</v>
      </c>
      <c r="F9" s="1">
        <v>0</v>
      </c>
      <c r="G9" s="1" t="s">
        <v>32</v>
      </c>
      <c r="H9" s="1">
        <v>2.3041357000038198</v>
      </c>
      <c r="I9" s="1" t="s">
        <v>33</v>
      </c>
      <c r="J9" s="1">
        <v>0</v>
      </c>
      <c r="K9" s="1">
        <v>7</v>
      </c>
      <c r="L9" s="1">
        <v>7</v>
      </c>
      <c r="M9" s="1">
        <v>5</v>
      </c>
      <c r="N9" s="1">
        <v>28.140970200001899</v>
      </c>
      <c r="O9" s="1"/>
      <c r="P9" s="1">
        <v>28.131748599997</v>
      </c>
      <c r="Q9" s="1">
        <v>28.140970200001899</v>
      </c>
      <c r="R9" s="1">
        <v>29.124759300000701</v>
      </c>
      <c r="S9" s="1">
        <v>29.124759300000701</v>
      </c>
      <c r="T9" s="1">
        <v>29.1415999000018</v>
      </c>
      <c r="U9" s="1">
        <v>31.441394399997002</v>
      </c>
      <c r="V9" s="1" t="s">
        <v>32</v>
      </c>
      <c r="W9" s="1">
        <v>2.3041357000038198</v>
      </c>
      <c r="X9" s="1" t="s">
        <v>33</v>
      </c>
      <c r="Y9" s="1" t="s">
        <v>34</v>
      </c>
      <c r="Z9" s="1">
        <v>1</v>
      </c>
      <c r="AA9" s="1" t="s">
        <v>35</v>
      </c>
      <c r="AB9" s="1" t="s">
        <v>36</v>
      </c>
      <c r="AC9" s="1"/>
      <c r="AD9" s="1" t="s">
        <v>37</v>
      </c>
      <c r="AE9" s="1">
        <v>60.023216980676203</v>
      </c>
      <c r="AF9" s="1" t="s">
        <v>38</v>
      </c>
    </row>
    <row r="10" spans="1:32" x14ac:dyDescent="0.35">
      <c r="A10" s="1">
        <v>15</v>
      </c>
      <c r="B10" s="1">
        <v>35</v>
      </c>
      <c r="C10" s="1">
        <v>13</v>
      </c>
      <c r="D10" s="1">
        <v>8</v>
      </c>
      <c r="E10" s="1">
        <v>8</v>
      </c>
      <c r="F10" s="1">
        <v>0</v>
      </c>
      <c r="G10" s="1" t="s">
        <v>39</v>
      </c>
      <c r="H10" s="1">
        <v>0.99289210000279104</v>
      </c>
      <c r="I10" s="1" t="s">
        <v>33</v>
      </c>
      <c r="J10" s="1">
        <v>0</v>
      </c>
      <c r="K10" s="1">
        <v>8</v>
      </c>
      <c r="L10" s="1">
        <v>8</v>
      </c>
      <c r="M10" s="1">
        <v>1</v>
      </c>
      <c r="N10" s="1">
        <v>31.4571045999982</v>
      </c>
      <c r="O10" s="1"/>
      <c r="P10" s="1">
        <v>31.448433500001499</v>
      </c>
      <c r="Q10" s="1">
        <v>31.4571045999982</v>
      </c>
      <c r="R10" s="1">
        <v>32.456995699998501</v>
      </c>
      <c r="S10" s="1">
        <v>32.456995699998501</v>
      </c>
      <c r="T10" s="1">
        <v>32.456995699998501</v>
      </c>
      <c r="U10" s="1">
        <v>33.4574455999973</v>
      </c>
      <c r="V10" s="1" t="s">
        <v>39</v>
      </c>
      <c r="W10" s="1">
        <v>0.99289210000279104</v>
      </c>
      <c r="X10" s="1" t="s">
        <v>33</v>
      </c>
      <c r="Y10" s="1" t="s">
        <v>34</v>
      </c>
      <c r="Z10" s="1">
        <v>1</v>
      </c>
      <c r="AA10" s="1" t="s">
        <v>35</v>
      </c>
      <c r="AB10" s="1" t="s">
        <v>36</v>
      </c>
      <c r="AC10" s="1"/>
      <c r="AD10" s="1" t="s">
        <v>37</v>
      </c>
      <c r="AE10" s="1">
        <v>60.023216980676203</v>
      </c>
      <c r="AF10" s="1" t="s">
        <v>38</v>
      </c>
    </row>
    <row r="11" spans="1:32" x14ac:dyDescent="0.35">
      <c r="A11" s="1">
        <v>98</v>
      </c>
      <c r="B11" s="1">
        <v>120</v>
      </c>
      <c r="C11" s="1">
        <v>230</v>
      </c>
      <c r="D11" s="1">
        <v>9</v>
      </c>
      <c r="E11" s="1">
        <v>9</v>
      </c>
      <c r="F11" s="1">
        <v>0</v>
      </c>
      <c r="G11" s="1" t="s">
        <v>32</v>
      </c>
      <c r="H11" s="1">
        <v>3.2910770999951602</v>
      </c>
      <c r="I11" s="1" t="s">
        <v>33</v>
      </c>
      <c r="J11" s="1">
        <v>0</v>
      </c>
      <c r="K11" s="1">
        <v>9</v>
      </c>
      <c r="L11" s="1">
        <v>9</v>
      </c>
      <c r="M11" s="1">
        <v>8</v>
      </c>
      <c r="N11" s="1">
        <v>33.473518699996902</v>
      </c>
      <c r="O11" s="1"/>
      <c r="P11" s="1">
        <v>33.463228399996297</v>
      </c>
      <c r="Q11" s="1">
        <v>33.473518699996902</v>
      </c>
      <c r="R11" s="1">
        <v>34.456732300001001</v>
      </c>
      <c r="S11" s="1">
        <v>34.456732300001001</v>
      </c>
      <c r="T11" s="1">
        <v>34.473368699997003</v>
      </c>
      <c r="U11" s="1">
        <v>37.756845800002303</v>
      </c>
      <c r="V11" s="1" t="s">
        <v>32</v>
      </c>
      <c r="W11" s="1">
        <v>3.2910770999951602</v>
      </c>
      <c r="X11" s="1" t="s">
        <v>33</v>
      </c>
      <c r="Y11" s="1" t="s">
        <v>34</v>
      </c>
      <c r="Z11" s="1">
        <v>1</v>
      </c>
      <c r="AA11" s="1" t="s">
        <v>35</v>
      </c>
      <c r="AB11" s="1" t="s">
        <v>36</v>
      </c>
      <c r="AC11" s="1"/>
      <c r="AD11" s="1" t="s">
        <v>37</v>
      </c>
      <c r="AE11" s="1">
        <v>60.023216980676203</v>
      </c>
      <c r="AF11" s="1" t="s">
        <v>38</v>
      </c>
    </row>
    <row r="12" spans="1:32" x14ac:dyDescent="0.35">
      <c r="A12" s="1">
        <v>110</v>
      </c>
      <c r="B12" s="1">
        <v>135</v>
      </c>
      <c r="C12" s="1">
        <v>270</v>
      </c>
      <c r="D12" s="1">
        <v>10</v>
      </c>
      <c r="E12" s="1">
        <v>0</v>
      </c>
      <c r="F12" s="1">
        <v>1</v>
      </c>
      <c r="G12" s="1" t="s">
        <v>32</v>
      </c>
      <c r="H12" s="1">
        <v>2.57375490000413</v>
      </c>
      <c r="I12" s="1" t="s">
        <v>33</v>
      </c>
      <c r="J12" s="1">
        <v>1</v>
      </c>
      <c r="K12" s="1">
        <v>0</v>
      </c>
      <c r="L12" s="1">
        <v>10</v>
      </c>
      <c r="M12" s="1">
        <v>9</v>
      </c>
      <c r="N12" s="1">
        <v>37.772684800001997</v>
      </c>
      <c r="O12" s="1"/>
      <c r="P12" s="1">
        <v>37.764052400001603</v>
      </c>
      <c r="Q12" s="1">
        <v>37.772684800001997</v>
      </c>
      <c r="R12" s="1">
        <v>38.755960599999497</v>
      </c>
      <c r="S12" s="1">
        <v>38.755960599999497</v>
      </c>
      <c r="T12" s="1">
        <v>38.772554099996299</v>
      </c>
      <c r="U12" s="1">
        <v>41.340020399998998</v>
      </c>
      <c r="V12" s="1" t="s">
        <v>32</v>
      </c>
      <c r="W12" s="1">
        <v>2.57375490000413</v>
      </c>
      <c r="X12" s="1" t="s">
        <v>33</v>
      </c>
      <c r="Y12" s="1" t="s">
        <v>34</v>
      </c>
      <c r="Z12" s="1">
        <v>1</v>
      </c>
      <c r="AA12" s="1" t="s">
        <v>35</v>
      </c>
      <c r="AB12" s="1" t="s">
        <v>36</v>
      </c>
      <c r="AC12" s="1"/>
      <c r="AD12" s="1" t="s">
        <v>37</v>
      </c>
      <c r="AE12" s="1">
        <v>60.023216980676203</v>
      </c>
      <c r="AF12" s="1" t="s">
        <v>38</v>
      </c>
    </row>
    <row r="13" spans="1:32" x14ac:dyDescent="0.35">
      <c r="A13" s="1">
        <v>40</v>
      </c>
      <c r="B13" s="1">
        <v>55</v>
      </c>
      <c r="C13" s="1">
        <v>62</v>
      </c>
      <c r="D13" s="1">
        <v>11</v>
      </c>
      <c r="E13" s="1">
        <v>1</v>
      </c>
      <c r="F13" s="1">
        <v>1</v>
      </c>
      <c r="G13" s="1" t="s">
        <v>32</v>
      </c>
      <c r="H13" s="1">
        <v>4.5961080999986699</v>
      </c>
      <c r="I13" s="1" t="s">
        <v>33</v>
      </c>
      <c r="J13" s="1">
        <v>1</v>
      </c>
      <c r="K13" s="1">
        <v>1</v>
      </c>
      <c r="L13" s="1">
        <v>11</v>
      </c>
      <c r="M13" s="1">
        <v>3</v>
      </c>
      <c r="N13" s="1">
        <v>41.355661800000199</v>
      </c>
      <c r="O13" s="1"/>
      <c r="P13" s="1">
        <v>41.347028500000299</v>
      </c>
      <c r="Q13" s="1">
        <v>41.355661800000199</v>
      </c>
      <c r="R13" s="1">
        <v>42.355444299995703</v>
      </c>
      <c r="S13" s="1">
        <v>42.355444299995703</v>
      </c>
      <c r="T13" s="1">
        <v>42.355444299995703</v>
      </c>
      <c r="U13" s="1">
        <v>46.955258900001297</v>
      </c>
      <c r="V13" s="1" t="s">
        <v>32</v>
      </c>
      <c r="W13" s="1">
        <v>4.5961080999986699</v>
      </c>
      <c r="X13" s="1" t="s">
        <v>33</v>
      </c>
      <c r="Y13" s="1" t="s">
        <v>34</v>
      </c>
      <c r="Z13" s="1">
        <v>1</v>
      </c>
      <c r="AA13" s="1" t="s">
        <v>35</v>
      </c>
      <c r="AB13" s="1" t="s">
        <v>36</v>
      </c>
      <c r="AC13" s="1"/>
      <c r="AD13" s="1" t="s">
        <v>37</v>
      </c>
      <c r="AE13" s="1">
        <v>60.023216980676203</v>
      </c>
      <c r="AF13" s="1" t="s">
        <v>38</v>
      </c>
    </row>
    <row r="14" spans="1:32" x14ac:dyDescent="0.35">
      <c r="A14" s="1">
        <v>49</v>
      </c>
      <c r="B14" s="1">
        <v>60</v>
      </c>
      <c r="C14" s="1">
        <v>89</v>
      </c>
      <c r="D14" s="1">
        <v>12</v>
      </c>
      <c r="E14" s="1">
        <v>2</v>
      </c>
      <c r="F14" s="1">
        <v>1</v>
      </c>
      <c r="G14" s="1" t="s">
        <v>32</v>
      </c>
      <c r="H14" s="1">
        <v>2.6892512999984302</v>
      </c>
      <c r="I14" s="1" t="s">
        <v>33</v>
      </c>
      <c r="J14" s="1">
        <v>1</v>
      </c>
      <c r="K14" s="1">
        <v>2</v>
      </c>
      <c r="L14" s="1">
        <v>12</v>
      </c>
      <c r="M14" s="1">
        <v>4</v>
      </c>
      <c r="N14" s="1">
        <v>46.971052499997299</v>
      </c>
      <c r="O14" s="1"/>
      <c r="P14" s="1">
        <v>46.960037099997798</v>
      </c>
      <c r="Q14" s="1">
        <v>46.971052499997299</v>
      </c>
      <c r="R14" s="1">
        <v>47.954341799995703</v>
      </c>
      <c r="S14" s="1">
        <v>47.954341799995703</v>
      </c>
      <c r="T14" s="1">
        <v>47.9710396000009</v>
      </c>
      <c r="U14" s="1">
        <v>50.6546162000013</v>
      </c>
      <c r="V14" s="1" t="s">
        <v>32</v>
      </c>
      <c r="W14" s="1">
        <v>2.6892512999984302</v>
      </c>
      <c r="X14" s="1" t="s">
        <v>33</v>
      </c>
      <c r="Y14" s="1" t="s">
        <v>34</v>
      </c>
      <c r="Z14" s="1">
        <v>1</v>
      </c>
      <c r="AA14" s="1" t="s">
        <v>35</v>
      </c>
      <c r="AB14" s="1" t="s">
        <v>36</v>
      </c>
      <c r="AC14" s="1"/>
      <c r="AD14" s="1" t="s">
        <v>37</v>
      </c>
      <c r="AE14" s="1">
        <v>60.023216980676203</v>
      </c>
      <c r="AF14" s="1" t="s">
        <v>38</v>
      </c>
    </row>
    <row r="15" spans="1:32" x14ac:dyDescent="0.35">
      <c r="A15" s="1">
        <v>11</v>
      </c>
      <c r="B15" s="1">
        <v>30</v>
      </c>
      <c r="C15" s="1">
        <v>7</v>
      </c>
      <c r="D15" s="1">
        <v>13</v>
      </c>
      <c r="E15" s="1">
        <v>3</v>
      </c>
      <c r="F15" s="1">
        <v>1</v>
      </c>
      <c r="G15" s="1" t="s">
        <v>39</v>
      </c>
      <c r="H15" s="1">
        <v>1.09220679999998</v>
      </c>
      <c r="I15" s="1" t="s">
        <v>33</v>
      </c>
      <c r="J15" s="1">
        <v>1</v>
      </c>
      <c r="K15" s="1">
        <v>3</v>
      </c>
      <c r="L15" s="1">
        <v>13</v>
      </c>
      <c r="M15" s="1">
        <v>0</v>
      </c>
      <c r="N15" s="1">
        <v>50.670733599996296</v>
      </c>
      <c r="O15" s="1"/>
      <c r="P15" s="1">
        <v>50.660407600000298</v>
      </c>
      <c r="Q15" s="1">
        <v>50.670733599996296</v>
      </c>
      <c r="R15" s="1">
        <v>51.653900099998197</v>
      </c>
      <c r="S15" s="1">
        <v>51.653900099998197</v>
      </c>
      <c r="T15" s="1">
        <v>51.670682500000098</v>
      </c>
      <c r="U15" s="1">
        <v>52.7544100000013</v>
      </c>
      <c r="V15" s="1" t="s">
        <v>39</v>
      </c>
      <c r="W15" s="1">
        <v>1.09220679999998</v>
      </c>
      <c r="X15" s="1" t="s">
        <v>33</v>
      </c>
      <c r="Y15" s="1" t="s">
        <v>34</v>
      </c>
      <c r="Z15" s="1">
        <v>1</v>
      </c>
      <c r="AA15" s="1" t="s">
        <v>35</v>
      </c>
      <c r="AB15" s="1" t="s">
        <v>36</v>
      </c>
      <c r="AC15" s="1"/>
      <c r="AD15" s="1" t="s">
        <v>37</v>
      </c>
      <c r="AE15" s="1">
        <v>60.023216980676203</v>
      </c>
      <c r="AF15" s="1" t="s">
        <v>38</v>
      </c>
    </row>
    <row r="16" spans="1:32" x14ac:dyDescent="0.35">
      <c r="A16" s="1">
        <v>78</v>
      </c>
      <c r="B16" s="1">
        <v>80</v>
      </c>
      <c r="C16" s="1">
        <v>162</v>
      </c>
      <c r="D16" s="1">
        <v>14</v>
      </c>
      <c r="E16" s="1">
        <v>4</v>
      </c>
      <c r="F16" s="1">
        <v>1</v>
      </c>
      <c r="G16" s="1" t="s">
        <v>32</v>
      </c>
      <c r="H16" s="1">
        <v>2.61249779999343</v>
      </c>
      <c r="I16" s="1" t="s">
        <v>33</v>
      </c>
      <c r="J16" s="1">
        <v>1</v>
      </c>
      <c r="K16" s="1">
        <v>4</v>
      </c>
      <c r="L16" s="1">
        <v>14</v>
      </c>
      <c r="M16" s="1">
        <v>6</v>
      </c>
      <c r="N16" s="1">
        <v>52.770390799996598</v>
      </c>
      <c r="O16" s="1"/>
      <c r="P16" s="1">
        <v>52.760384399996802</v>
      </c>
      <c r="Q16" s="1">
        <v>52.770390799996598</v>
      </c>
      <c r="R16" s="1">
        <v>53.753503799998697</v>
      </c>
      <c r="S16" s="1">
        <v>53.753503799998697</v>
      </c>
      <c r="T16" s="1">
        <v>53.770218699995802</v>
      </c>
      <c r="U16" s="1">
        <v>56.370729399997799</v>
      </c>
      <c r="V16" s="1" t="s">
        <v>32</v>
      </c>
      <c r="W16" s="1">
        <v>2.61249779999343</v>
      </c>
      <c r="X16" s="1" t="s">
        <v>33</v>
      </c>
      <c r="Y16" s="1" t="s">
        <v>34</v>
      </c>
      <c r="Z16" s="1">
        <v>1</v>
      </c>
      <c r="AA16" s="1" t="s">
        <v>35</v>
      </c>
      <c r="AB16" s="1" t="s">
        <v>36</v>
      </c>
      <c r="AC16" s="1"/>
      <c r="AD16" s="1" t="s">
        <v>37</v>
      </c>
      <c r="AE16" s="1">
        <v>60.023216980676203</v>
      </c>
      <c r="AF16" s="1" t="s">
        <v>38</v>
      </c>
    </row>
    <row r="17" spans="1:32" x14ac:dyDescent="0.35">
      <c r="A17" s="1">
        <v>98</v>
      </c>
      <c r="B17" s="1">
        <v>120</v>
      </c>
      <c r="C17" s="1">
        <v>230</v>
      </c>
      <c r="D17" s="1">
        <v>15</v>
      </c>
      <c r="E17" s="1">
        <v>5</v>
      </c>
      <c r="F17" s="1">
        <v>1</v>
      </c>
      <c r="G17" s="1" t="s">
        <v>32</v>
      </c>
      <c r="H17" s="1">
        <v>3.7431261999954502</v>
      </c>
      <c r="I17" s="1" t="s">
        <v>33</v>
      </c>
      <c r="J17" s="1">
        <v>1</v>
      </c>
      <c r="K17" s="1">
        <v>5</v>
      </c>
      <c r="L17" s="1">
        <v>15</v>
      </c>
      <c r="M17" s="1">
        <v>8</v>
      </c>
      <c r="N17" s="1">
        <v>56.386300899997799</v>
      </c>
      <c r="O17" s="1"/>
      <c r="P17" s="1">
        <v>56.379209300001001</v>
      </c>
      <c r="Q17" s="1">
        <v>56.386300899997799</v>
      </c>
      <c r="R17" s="1">
        <v>57.386104600002</v>
      </c>
      <c r="S17" s="1">
        <v>57.386104600002</v>
      </c>
      <c r="T17" s="1">
        <v>57.386104600002</v>
      </c>
      <c r="U17" s="1">
        <v>61.136269299997302</v>
      </c>
      <c r="V17" s="1" t="s">
        <v>32</v>
      </c>
      <c r="W17" s="1">
        <v>3.7431261999954502</v>
      </c>
      <c r="X17" s="1" t="s">
        <v>33</v>
      </c>
      <c r="Y17" s="1" t="s">
        <v>34</v>
      </c>
      <c r="Z17" s="1">
        <v>1</v>
      </c>
      <c r="AA17" s="1" t="s">
        <v>35</v>
      </c>
      <c r="AB17" s="1" t="s">
        <v>36</v>
      </c>
      <c r="AC17" s="1"/>
      <c r="AD17" s="1" t="s">
        <v>37</v>
      </c>
      <c r="AE17" s="1">
        <v>60.023216980676203</v>
      </c>
      <c r="AF17" s="1" t="s">
        <v>38</v>
      </c>
    </row>
    <row r="18" spans="1:32" x14ac:dyDescent="0.35">
      <c r="A18" s="1">
        <v>88</v>
      </c>
      <c r="B18" s="1">
        <v>105</v>
      </c>
      <c r="C18" s="1">
        <v>200</v>
      </c>
      <c r="D18" s="1">
        <v>16</v>
      </c>
      <c r="E18" s="1">
        <v>6</v>
      </c>
      <c r="F18" s="1">
        <v>1</v>
      </c>
      <c r="G18" s="1" t="s">
        <v>32</v>
      </c>
      <c r="H18" s="1">
        <v>1.2320514000020899</v>
      </c>
      <c r="I18" s="1" t="s">
        <v>33</v>
      </c>
      <c r="J18" s="1">
        <v>1</v>
      </c>
      <c r="K18" s="1">
        <v>6</v>
      </c>
      <c r="L18" s="1">
        <v>16</v>
      </c>
      <c r="M18" s="1">
        <v>7</v>
      </c>
      <c r="N18" s="1">
        <v>61.152635899998103</v>
      </c>
      <c r="O18" s="1"/>
      <c r="P18" s="1">
        <v>61.142315899996902</v>
      </c>
      <c r="Q18" s="1">
        <v>61.152635899998103</v>
      </c>
      <c r="R18" s="1">
        <v>62.152841099996202</v>
      </c>
      <c r="S18" s="1">
        <v>62.152841099996202</v>
      </c>
      <c r="T18" s="1">
        <v>62.152841099996202</v>
      </c>
      <c r="U18" s="1">
        <v>63.3861378000001</v>
      </c>
      <c r="V18" s="1" t="s">
        <v>32</v>
      </c>
      <c r="W18" s="1">
        <v>1.2320514000020899</v>
      </c>
      <c r="X18" s="1" t="s">
        <v>33</v>
      </c>
      <c r="Y18" s="1" t="s">
        <v>34</v>
      </c>
      <c r="Z18" s="1">
        <v>1</v>
      </c>
      <c r="AA18" s="1" t="s">
        <v>35</v>
      </c>
      <c r="AB18" s="1" t="s">
        <v>36</v>
      </c>
      <c r="AC18" s="1"/>
      <c r="AD18" s="1" t="s">
        <v>37</v>
      </c>
      <c r="AE18" s="1">
        <v>60.023216980676203</v>
      </c>
      <c r="AF18" s="1" t="s">
        <v>38</v>
      </c>
    </row>
    <row r="19" spans="1:32" x14ac:dyDescent="0.35">
      <c r="A19" s="1">
        <v>15</v>
      </c>
      <c r="B19" s="1">
        <v>35</v>
      </c>
      <c r="C19" s="1">
        <v>13</v>
      </c>
      <c r="D19" s="1">
        <v>17</v>
      </c>
      <c r="E19" s="1">
        <v>7</v>
      </c>
      <c r="F19" s="1">
        <v>1</v>
      </c>
      <c r="G19" s="1" t="s">
        <v>39</v>
      </c>
      <c r="H19" s="1">
        <v>1.07142600000224</v>
      </c>
      <c r="I19" s="1" t="s">
        <v>33</v>
      </c>
      <c r="J19" s="1">
        <v>1</v>
      </c>
      <c r="K19" s="1">
        <v>7</v>
      </c>
      <c r="L19" s="1">
        <v>17</v>
      </c>
      <c r="M19" s="1">
        <v>1</v>
      </c>
      <c r="N19" s="1">
        <v>63.418862699996602</v>
      </c>
      <c r="O19" s="1"/>
      <c r="P19" s="1">
        <v>63.3951442999969</v>
      </c>
      <c r="Q19" s="1">
        <v>63.418862699996602</v>
      </c>
      <c r="R19" s="1">
        <v>64.385078799998098</v>
      </c>
      <c r="S19" s="1">
        <v>64.385078799998098</v>
      </c>
      <c r="T19" s="1">
        <v>64.418466499999298</v>
      </c>
      <c r="U19" s="1">
        <v>65.469061999996399</v>
      </c>
      <c r="V19" s="1" t="s">
        <v>39</v>
      </c>
      <c r="W19" s="1">
        <v>1.07142600000224</v>
      </c>
      <c r="X19" s="1" t="s">
        <v>33</v>
      </c>
      <c r="Y19" s="1" t="s">
        <v>34</v>
      </c>
      <c r="Z19" s="1">
        <v>1</v>
      </c>
      <c r="AA19" s="1" t="s">
        <v>35</v>
      </c>
      <c r="AB19" s="1" t="s">
        <v>36</v>
      </c>
      <c r="AC19" s="1"/>
      <c r="AD19" s="1" t="s">
        <v>37</v>
      </c>
      <c r="AE19" s="1">
        <v>60.023216980676203</v>
      </c>
      <c r="AF19" s="1" t="s">
        <v>38</v>
      </c>
    </row>
    <row r="20" spans="1:32" x14ac:dyDescent="0.35">
      <c r="A20" s="1">
        <v>27</v>
      </c>
      <c r="B20" s="1">
        <v>50</v>
      </c>
      <c r="C20" s="1">
        <v>21</v>
      </c>
      <c r="D20" s="1">
        <v>18</v>
      </c>
      <c r="E20" s="1">
        <v>8</v>
      </c>
      <c r="F20" s="1">
        <v>1</v>
      </c>
      <c r="G20" s="1" t="s">
        <v>32</v>
      </c>
      <c r="H20" s="1">
        <v>4.5334776000017802</v>
      </c>
      <c r="I20" s="1" t="s">
        <v>33</v>
      </c>
      <c r="J20" s="1">
        <v>1</v>
      </c>
      <c r="K20" s="1">
        <v>8</v>
      </c>
      <c r="L20" s="1">
        <v>18</v>
      </c>
      <c r="M20" s="1">
        <v>2</v>
      </c>
      <c r="N20" s="1">
        <v>65.484853499998195</v>
      </c>
      <c r="O20" s="1"/>
      <c r="P20" s="1">
        <v>65.475239100000096</v>
      </c>
      <c r="Q20" s="1">
        <v>65.484853499998195</v>
      </c>
      <c r="R20" s="1">
        <v>66.484743000000805</v>
      </c>
      <c r="S20" s="1">
        <v>66.484743000000805</v>
      </c>
      <c r="T20" s="1">
        <v>66.484743000000805</v>
      </c>
      <c r="U20" s="1">
        <v>71.0345410000009</v>
      </c>
      <c r="V20" s="1" t="s">
        <v>32</v>
      </c>
      <c r="W20" s="1">
        <v>4.5334776000017802</v>
      </c>
      <c r="X20" s="1" t="s">
        <v>33</v>
      </c>
      <c r="Y20" s="1" t="s">
        <v>34</v>
      </c>
      <c r="Z20" s="1">
        <v>1</v>
      </c>
      <c r="AA20" s="1" t="s">
        <v>35</v>
      </c>
      <c r="AB20" s="1" t="s">
        <v>36</v>
      </c>
      <c r="AC20" s="1"/>
      <c r="AD20" s="1" t="s">
        <v>37</v>
      </c>
      <c r="AE20" s="1">
        <v>60.023216980676203</v>
      </c>
      <c r="AF20" s="1" t="s">
        <v>38</v>
      </c>
    </row>
    <row r="21" spans="1:32" x14ac:dyDescent="0.35">
      <c r="A21" s="1">
        <v>67</v>
      </c>
      <c r="B21" s="1">
        <v>75</v>
      </c>
      <c r="C21" s="1">
        <v>119</v>
      </c>
      <c r="D21" s="1">
        <v>19</v>
      </c>
      <c r="E21" s="1">
        <v>9</v>
      </c>
      <c r="F21" s="1">
        <v>1</v>
      </c>
      <c r="G21" s="1" t="s">
        <v>32</v>
      </c>
      <c r="H21" s="1">
        <v>4.4334151999937603</v>
      </c>
      <c r="I21" s="1" t="s">
        <v>33</v>
      </c>
      <c r="J21" s="1">
        <v>1</v>
      </c>
      <c r="K21" s="1">
        <v>9</v>
      </c>
      <c r="L21" s="1">
        <v>19</v>
      </c>
      <c r="M21" s="1">
        <v>5</v>
      </c>
      <c r="N21" s="1">
        <v>71.050608299999993</v>
      </c>
      <c r="O21" s="1"/>
      <c r="P21" s="1">
        <v>71.0393200999969</v>
      </c>
      <c r="Q21" s="1">
        <v>71.050608299999993</v>
      </c>
      <c r="R21" s="1">
        <v>72.033721899999307</v>
      </c>
      <c r="S21" s="1">
        <v>72.033721899999307</v>
      </c>
      <c r="T21" s="1">
        <v>72.050295599998194</v>
      </c>
      <c r="U21" s="1">
        <v>76.483604200002404</v>
      </c>
      <c r="V21" s="1" t="s">
        <v>32</v>
      </c>
      <c r="W21" s="1">
        <v>4.4334151999937603</v>
      </c>
      <c r="X21" s="1" t="s">
        <v>33</v>
      </c>
      <c r="Y21" s="1" t="s">
        <v>34</v>
      </c>
      <c r="Z21" s="1">
        <v>1</v>
      </c>
      <c r="AA21" s="1" t="s">
        <v>35</v>
      </c>
      <c r="AB21" s="1" t="s">
        <v>36</v>
      </c>
      <c r="AC21" s="1"/>
      <c r="AD21" s="1" t="s">
        <v>37</v>
      </c>
      <c r="AE21" s="1">
        <v>60.023216980676203</v>
      </c>
      <c r="AF21" s="1" t="s">
        <v>38</v>
      </c>
    </row>
    <row r="22" spans="1:32" x14ac:dyDescent="0.35">
      <c r="A22" s="1">
        <v>49</v>
      </c>
      <c r="B22" s="1">
        <v>60</v>
      </c>
      <c r="C22" s="1">
        <v>89</v>
      </c>
      <c r="D22" s="1">
        <v>20</v>
      </c>
      <c r="E22" s="1">
        <v>0</v>
      </c>
      <c r="F22" s="1">
        <v>2</v>
      </c>
      <c r="G22" s="1" t="s">
        <v>32</v>
      </c>
      <c r="H22" s="1">
        <v>0.77309360000072003</v>
      </c>
      <c r="I22" s="1" t="s">
        <v>33</v>
      </c>
      <c r="J22" s="1">
        <v>2</v>
      </c>
      <c r="K22" s="1">
        <v>0</v>
      </c>
      <c r="L22" s="1">
        <v>20</v>
      </c>
      <c r="M22" s="1">
        <v>4</v>
      </c>
      <c r="N22" s="1">
        <v>76.499719799998203</v>
      </c>
      <c r="O22" s="1"/>
      <c r="P22" s="1">
        <v>76.492907300002102</v>
      </c>
      <c r="Q22" s="1">
        <v>76.499719799998203</v>
      </c>
      <c r="R22" s="1">
        <v>77.4829633999979</v>
      </c>
      <c r="S22" s="1">
        <v>77.4829633999979</v>
      </c>
      <c r="T22" s="1">
        <v>77.500083400001998</v>
      </c>
      <c r="U22" s="1">
        <v>78.267500100002493</v>
      </c>
      <c r="V22" s="1" t="s">
        <v>32</v>
      </c>
      <c r="W22" s="1">
        <v>0.77309360000072003</v>
      </c>
      <c r="X22" s="1" t="s">
        <v>33</v>
      </c>
      <c r="Y22" s="1" t="s">
        <v>34</v>
      </c>
      <c r="Z22" s="1">
        <v>1</v>
      </c>
      <c r="AA22" s="1" t="s">
        <v>35</v>
      </c>
      <c r="AB22" s="1" t="s">
        <v>36</v>
      </c>
      <c r="AC22" s="1"/>
      <c r="AD22" s="1" t="s">
        <v>37</v>
      </c>
      <c r="AE22" s="1">
        <v>60.023216980676203</v>
      </c>
      <c r="AF22" s="1" t="s">
        <v>38</v>
      </c>
    </row>
    <row r="23" spans="1:32" x14ac:dyDescent="0.35">
      <c r="A23" s="1">
        <v>88</v>
      </c>
      <c r="B23" s="1">
        <v>105</v>
      </c>
      <c r="C23" s="1">
        <v>200</v>
      </c>
      <c r="D23" s="1">
        <v>21</v>
      </c>
      <c r="E23" s="1">
        <v>1</v>
      </c>
      <c r="F23" s="1">
        <v>2</v>
      </c>
      <c r="G23" s="1" t="s">
        <v>32</v>
      </c>
      <c r="H23" s="1">
        <v>0.822990300002857</v>
      </c>
      <c r="I23" s="1" t="s">
        <v>33</v>
      </c>
      <c r="J23" s="1">
        <v>2</v>
      </c>
      <c r="K23" s="1">
        <v>1</v>
      </c>
      <c r="L23" s="1">
        <v>21</v>
      </c>
      <c r="M23" s="1">
        <v>7</v>
      </c>
      <c r="N23" s="1">
        <v>78.282657399999096</v>
      </c>
      <c r="O23" s="1"/>
      <c r="P23" s="1">
        <v>78.273726599996706</v>
      </c>
      <c r="Q23" s="1">
        <v>78.282657399999096</v>
      </c>
      <c r="R23" s="1">
        <v>79.283243300000294</v>
      </c>
      <c r="S23" s="1">
        <v>79.283243300000294</v>
      </c>
      <c r="T23" s="1">
        <v>79.283243300000294</v>
      </c>
      <c r="U23" s="1">
        <v>80.116418899997299</v>
      </c>
      <c r="V23" s="1" t="s">
        <v>32</v>
      </c>
      <c r="W23" s="1">
        <v>0.822990300002857</v>
      </c>
      <c r="X23" s="1" t="s">
        <v>33</v>
      </c>
      <c r="Y23" s="1" t="s">
        <v>34</v>
      </c>
      <c r="Z23" s="1">
        <v>1</v>
      </c>
      <c r="AA23" s="1" t="s">
        <v>35</v>
      </c>
      <c r="AB23" s="1" t="s">
        <v>36</v>
      </c>
      <c r="AC23" s="1"/>
      <c r="AD23" s="1" t="s">
        <v>37</v>
      </c>
      <c r="AE23" s="1">
        <v>60.023216980676203</v>
      </c>
      <c r="AF23" s="1" t="s">
        <v>38</v>
      </c>
    </row>
    <row r="24" spans="1:32" x14ac:dyDescent="0.35">
      <c r="A24" s="1">
        <v>11</v>
      </c>
      <c r="B24" s="1">
        <v>30</v>
      </c>
      <c r="C24" s="1">
        <v>7</v>
      </c>
      <c r="D24" s="1">
        <v>22</v>
      </c>
      <c r="E24" s="1">
        <v>2</v>
      </c>
      <c r="F24" s="1">
        <v>2</v>
      </c>
      <c r="G24" s="1" t="s">
        <v>39</v>
      </c>
      <c r="H24" s="1">
        <v>0.74380779999773905</v>
      </c>
      <c r="I24" s="1" t="s">
        <v>33</v>
      </c>
      <c r="J24" s="1">
        <v>2</v>
      </c>
      <c r="K24" s="1">
        <v>2</v>
      </c>
      <c r="L24" s="1">
        <v>22</v>
      </c>
      <c r="M24" s="1">
        <v>0</v>
      </c>
      <c r="N24" s="1">
        <v>80.132433499995301</v>
      </c>
      <c r="O24" s="1"/>
      <c r="P24" s="1">
        <v>80.121266000001896</v>
      </c>
      <c r="Q24" s="1">
        <v>80.132433499995301</v>
      </c>
      <c r="R24" s="1">
        <v>81.115704999996495</v>
      </c>
      <c r="S24" s="1">
        <v>81.115704999996495</v>
      </c>
      <c r="T24" s="1">
        <v>81.132254600001005</v>
      </c>
      <c r="U24" s="1">
        <v>81.866525999997904</v>
      </c>
      <c r="V24" s="1" t="s">
        <v>39</v>
      </c>
      <c r="W24" s="1">
        <v>0.74380779999773905</v>
      </c>
      <c r="X24" s="1" t="s">
        <v>33</v>
      </c>
      <c r="Y24" s="1" t="s">
        <v>34</v>
      </c>
      <c r="Z24" s="1">
        <v>1</v>
      </c>
      <c r="AA24" s="1" t="s">
        <v>35</v>
      </c>
      <c r="AB24" s="1" t="s">
        <v>36</v>
      </c>
      <c r="AC24" s="1"/>
      <c r="AD24" s="1" t="s">
        <v>37</v>
      </c>
      <c r="AE24" s="1">
        <v>60.023216980676203</v>
      </c>
      <c r="AF24" s="1" t="s">
        <v>38</v>
      </c>
    </row>
    <row r="25" spans="1:32" x14ac:dyDescent="0.35">
      <c r="A25" s="1">
        <v>110</v>
      </c>
      <c r="B25" s="1">
        <v>135</v>
      </c>
      <c r="C25" s="1">
        <v>270</v>
      </c>
      <c r="D25" s="1">
        <v>23</v>
      </c>
      <c r="E25" s="1">
        <v>3</v>
      </c>
      <c r="F25" s="1">
        <v>2</v>
      </c>
      <c r="G25" s="1" t="s">
        <v>32</v>
      </c>
      <c r="H25" s="1">
        <v>2.5957773000045501</v>
      </c>
      <c r="I25" s="1" t="s">
        <v>33</v>
      </c>
      <c r="J25" s="1">
        <v>2</v>
      </c>
      <c r="K25" s="1">
        <v>3</v>
      </c>
      <c r="L25" s="1">
        <v>23</v>
      </c>
      <c r="M25" s="1">
        <v>9</v>
      </c>
      <c r="N25" s="1">
        <v>81.898998399999897</v>
      </c>
      <c r="O25" s="1"/>
      <c r="P25" s="1">
        <v>81.876473399999597</v>
      </c>
      <c r="Q25" s="1">
        <v>81.898998399999897</v>
      </c>
      <c r="R25" s="1">
        <v>82.882102499999704</v>
      </c>
      <c r="S25" s="1">
        <v>82.882102499999704</v>
      </c>
      <c r="T25" s="1">
        <v>82.898827500001005</v>
      </c>
      <c r="U25" s="1">
        <v>85.482507399996393</v>
      </c>
      <c r="V25" s="1" t="s">
        <v>32</v>
      </c>
      <c r="W25" s="1">
        <v>2.5957773000045501</v>
      </c>
      <c r="X25" s="1" t="s">
        <v>33</v>
      </c>
      <c r="Y25" s="1" t="s">
        <v>34</v>
      </c>
      <c r="Z25" s="1">
        <v>1</v>
      </c>
      <c r="AA25" s="1" t="s">
        <v>35</v>
      </c>
      <c r="AB25" s="1" t="s">
        <v>36</v>
      </c>
      <c r="AC25" s="1"/>
      <c r="AD25" s="1" t="s">
        <v>37</v>
      </c>
      <c r="AE25" s="1">
        <v>60.023216980676203</v>
      </c>
      <c r="AF25" s="1" t="s">
        <v>38</v>
      </c>
    </row>
    <row r="26" spans="1:32" x14ac:dyDescent="0.35">
      <c r="A26" s="1">
        <v>67</v>
      </c>
      <c r="B26" s="1">
        <v>75</v>
      </c>
      <c r="C26" s="1">
        <v>119</v>
      </c>
      <c r="D26" s="1">
        <v>24</v>
      </c>
      <c r="E26" s="1">
        <v>4</v>
      </c>
      <c r="F26" s="1">
        <v>2</v>
      </c>
      <c r="G26" s="1" t="s">
        <v>32</v>
      </c>
      <c r="H26" s="1">
        <v>2.20014919999812</v>
      </c>
      <c r="I26" s="1" t="s">
        <v>33</v>
      </c>
      <c r="J26" s="1">
        <v>2</v>
      </c>
      <c r="K26" s="1">
        <v>4</v>
      </c>
      <c r="L26" s="1">
        <v>24</v>
      </c>
      <c r="M26" s="1">
        <v>5</v>
      </c>
      <c r="N26" s="1">
        <v>85.498305100001701</v>
      </c>
      <c r="O26" s="1"/>
      <c r="P26" s="1">
        <v>85.487356199999297</v>
      </c>
      <c r="Q26" s="1">
        <v>85.498305100001701</v>
      </c>
      <c r="R26" s="1">
        <v>86.498312399999094</v>
      </c>
      <c r="S26" s="1">
        <v>86.498312399999094</v>
      </c>
      <c r="T26" s="1">
        <v>86.498312399999094</v>
      </c>
      <c r="U26" s="1">
        <v>88.715083399998505</v>
      </c>
      <c r="V26" s="1" t="s">
        <v>32</v>
      </c>
      <c r="W26" s="1">
        <v>2.20014919999812</v>
      </c>
      <c r="X26" s="1" t="s">
        <v>33</v>
      </c>
      <c r="Y26" s="1" t="s">
        <v>34</v>
      </c>
      <c r="Z26" s="1">
        <v>1</v>
      </c>
      <c r="AA26" s="1" t="s">
        <v>35</v>
      </c>
      <c r="AB26" s="1" t="s">
        <v>36</v>
      </c>
      <c r="AC26" s="1"/>
      <c r="AD26" s="1" t="s">
        <v>37</v>
      </c>
      <c r="AE26" s="1">
        <v>60.023216980676203</v>
      </c>
      <c r="AF26" s="1" t="s">
        <v>38</v>
      </c>
    </row>
    <row r="27" spans="1:32" x14ac:dyDescent="0.35">
      <c r="A27" s="1">
        <v>15</v>
      </c>
      <c r="B27" s="1">
        <v>35</v>
      </c>
      <c r="C27" s="1">
        <v>13</v>
      </c>
      <c r="D27" s="1">
        <v>25</v>
      </c>
      <c r="E27" s="1">
        <v>5</v>
      </c>
      <c r="F27" s="1">
        <v>2</v>
      </c>
      <c r="G27" s="1" t="s">
        <v>39</v>
      </c>
      <c r="H27" s="1">
        <v>1.1492711000028</v>
      </c>
      <c r="I27" s="1" t="s">
        <v>33</v>
      </c>
      <c r="J27" s="1">
        <v>2</v>
      </c>
      <c r="K27" s="1">
        <v>5</v>
      </c>
      <c r="L27" s="1">
        <v>25</v>
      </c>
      <c r="M27" s="1">
        <v>1</v>
      </c>
      <c r="N27" s="1">
        <v>88.731142899996399</v>
      </c>
      <c r="O27" s="1"/>
      <c r="P27" s="1">
        <v>88.720113999996101</v>
      </c>
      <c r="Q27" s="1">
        <v>88.731142899996399</v>
      </c>
      <c r="R27" s="1">
        <v>89.714331499999304</v>
      </c>
      <c r="S27" s="1">
        <v>89.714331499999304</v>
      </c>
      <c r="T27" s="1">
        <v>89.7309792000014</v>
      </c>
      <c r="U27" s="1">
        <v>90.865375799999995</v>
      </c>
      <c r="V27" s="1" t="s">
        <v>39</v>
      </c>
      <c r="W27" s="1">
        <v>1.1492711000028</v>
      </c>
      <c r="X27" s="1" t="s">
        <v>33</v>
      </c>
      <c r="Y27" s="1" t="s">
        <v>34</v>
      </c>
      <c r="Z27" s="1">
        <v>1</v>
      </c>
      <c r="AA27" s="1" t="s">
        <v>35</v>
      </c>
      <c r="AB27" s="1" t="s">
        <v>36</v>
      </c>
      <c r="AC27" s="1"/>
      <c r="AD27" s="1" t="s">
        <v>37</v>
      </c>
      <c r="AE27" s="1">
        <v>60.023216980676203</v>
      </c>
      <c r="AF27" s="1" t="s">
        <v>38</v>
      </c>
    </row>
    <row r="28" spans="1:32" x14ac:dyDescent="0.35">
      <c r="A28" s="1">
        <v>27</v>
      </c>
      <c r="B28" s="1">
        <v>50</v>
      </c>
      <c r="C28" s="1">
        <v>21</v>
      </c>
      <c r="D28" s="1">
        <v>26</v>
      </c>
      <c r="E28" s="1">
        <v>6</v>
      </c>
      <c r="F28" s="1">
        <v>2</v>
      </c>
      <c r="G28" s="1" t="s">
        <v>32</v>
      </c>
      <c r="H28" s="1">
        <v>4.9715475000048102</v>
      </c>
      <c r="I28" s="1" t="s">
        <v>33</v>
      </c>
      <c r="J28" s="1">
        <v>2</v>
      </c>
      <c r="K28" s="1">
        <v>6</v>
      </c>
      <c r="L28" s="1">
        <v>26</v>
      </c>
      <c r="M28" s="1">
        <v>2</v>
      </c>
      <c r="N28" s="1">
        <v>90.897544400002502</v>
      </c>
      <c r="O28" s="1"/>
      <c r="P28" s="1">
        <v>90.875257799998494</v>
      </c>
      <c r="Q28" s="1">
        <v>90.897544400002502</v>
      </c>
      <c r="R28" s="1">
        <v>91.8806229999972</v>
      </c>
      <c r="S28" s="1">
        <v>91.8806229999972</v>
      </c>
      <c r="T28" s="1">
        <v>91.897325300000304</v>
      </c>
      <c r="U28" s="1">
        <v>96.863743299996699</v>
      </c>
      <c r="V28" s="1" t="s">
        <v>32</v>
      </c>
      <c r="W28" s="1">
        <v>4.9715475000048102</v>
      </c>
      <c r="X28" s="1" t="s">
        <v>33</v>
      </c>
      <c r="Y28" s="1" t="s">
        <v>34</v>
      </c>
      <c r="Z28" s="1">
        <v>1</v>
      </c>
      <c r="AA28" s="1" t="s">
        <v>35</v>
      </c>
      <c r="AB28" s="1" t="s">
        <v>36</v>
      </c>
      <c r="AC28" s="1"/>
      <c r="AD28" s="1" t="s">
        <v>37</v>
      </c>
      <c r="AE28" s="1">
        <v>60.023216980676203</v>
      </c>
      <c r="AF28" s="1" t="s">
        <v>38</v>
      </c>
    </row>
    <row r="29" spans="1:32" x14ac:dyDescent="0.35">
      <c r="A29" s="1">
        <v>98</v>
      </c>
      <c r="B29" s="1">
        <v>120</v>
      </c>
      <c r="C29" s="1">
        <v>230</v>
      </c>
      <c r="D29" s="1">
        <v>27</v>
      </c>
      <c r="E29" s="1">
        <v>7</v>
      </c>
      <c r="F29" s="1">
        <v>2</v>
      </c>
      <c r="G29" s="1" t="s">
        <v>32</v>
      </c>
      <c r="H29" s="1">
        <v>0.71571109999786098</v>
      </c>
      <c r="I29" s="1" t="s">
        <v>33</v>
      </c>
      <c r="J29" s="1">
        <v>2</v>
      </c>
      <c r="K29" s="1">
        <v>7</v>
      </c>
      <c r="L29" s="1">
        <v>27</v>
      </c>
      <c r="M29" s="1">
        <v>8</v>
      </c>
      <c r="N29" s="1">
        <v>96.879795900000303</v>
      </c>
      <c r="O29" s="1"/>
      <c r="P29" s="1">
        <v>96.869025200001403</v>
      </c>
      <c r="Q29" s="1">
        <v>96.879795900000303</v>
      </c>
      <c r="R29" s="1">
        <v>97.863094399996001</v>
      </c>
      <c r="S29" s="1">
        <v>97.863094399996001</v>
      </c>
      <c r="T29" s="1">
        <v>97.879624900000593</v>
      </c>
      <c r="U29" s="1">
        <v>98.580195800000993</v>
      </c>
      <c r="V29" s="1" t="s">
        <v>32</v>
      </c>
      <c r="W29" s="1">
        <v>0.71571109999786098</v>
      </c>
      <c r="X29" s="1" t="s">
        <v>33</v>
      </c>
      <c r="Y29" s="1" t="s">
        <v>34</v>
      </c>
      <c r="Z29" s="1">
        <v>1</v>
      </c>
      <c r="AA29" s="1" t="s">
        <v>35</v>
      </c>
      <c r="AB29" s="1" t="s">
        <v>36</v>
      </c>
      <c r="AC29" s="1"/>
      <c r="AD29" s="1" t="s">
        <v>37</v>
      </c>
      <c r="AE29" s="1">
        <v>60.023216980676203</v>
      </c>
      <c r="AF29" s="1" t="s">
        <v>38</v>
      </c>
    </row>
    <row r="30" spans="1:32" x14ac:dyDescent="0.35">
      <c r="A30" s="1">
        <v>78</v>
      </c>
      <c r="B30" s="1">
        <v>80</v>
      </c>
      <c r="C30" s="1">
        <v>162</v>
      </c>
      <c r="D30" s="1">
        <v>28</v>
      </c>
      <c r="E30" s="1">
        <v>8</v>
      </c>
      <c r="F30" s="1">
        <v>2</v>
      </c>
      <c r="G30" s="1" t="s">
        <v>32</v>
      </c>
      <c r="H30" s="1">
        <v>1.55829149999772</v>
      </c>
      <c r="I30" s="1" t="s">
        <v>33</v>
      </c>
      <c r="J30" s="1">
        <v>2</v>
      </c>
      <c r="K30" s="1">
        <v>8</v>
      </c>
      <c r="L30" s="1">
        <v>28</v>
      </c>
      <c r="M30" s="1">
        <v>6</v>
      </c>
      <c r="N30" s="1">
        <v>98.596167499999794</v>
      </c>
      <c r="O30" s="1"/>
      <c r="P30" s="1">
        <v>98.584778399999706</v>
      </c>
      <c r="Q30" s="1">
        <v>98.596167499999794</v>
      </c>
      <c r="R30" s="1">
        <v>99.579433499995503</v>
      </c>
      <c r="S30" s="1">
        <v>99.579433499995503</v>
      </c>
      <c r="T30" s="1">
        <v>99.596088500002196</v>
      </c>
      <c r="U30" s="1">
        <v>101.146211999999</v>
      </c>
      <c r="V30" s="1" t="s">
        <v>32</v>
      </c>
      <c r="W30" s="1">
        <v>1.55829149999772</v>
      </c>
      <c r="X30" s="1" t="s">
        <v>33</v>
      </c>
      <c r="Y30" s="1" t="s">
        <v>34</v>
      </c>
      <c r="Z30" s="1">
        <v>1</v>
      </c>
      <c r="AA30" s="1" t="s">
        <v>35</v>
      </c>
      <c r="AB30" s="1" t="s">
        <v>36</v>
      </c>
      <c r="AC30" s="1"/>
      <c r="AD30" s="1" t="s">
        <v>37</v>
      </c>
      <c r="AE30" s="1">
        <v>60.023216980676203</v>
      </c>
      <c r="AF30" s="1" t="s">
        <v>38</v>
      </c>
    </row>
    <row r="31" spans="1:32" x14ac:dyDescent="0.35">
      <c r="A31" s="1">
        <v>40</v>
      </c>
      <c r="B31" s="1">
        <v>55</v>
      </c>
      <c r="C31" s="1">
        <v>62</v>
      </c>
      <c r="D31" s="1">
        <v>29</v>
      </c>
      <c r="E31" s="1">
        <v>9</v>
      </c>
      <c r="F31" s="1">
        <v>2</v>
      </c>
      <c r="G31" s="1" t="s">
        <v>32</v>
      </c>
      <c r="H31" s="1">
        <v>1.0769314999997699</v>
      </c>
      <c r="I31" s="1" t="s">
        <v>33</v>
      </c>
      <c r="J31" s="1">
        <v>2</v>
      </c>
      <c r="K31" s="1">
        <v>9</v>
      </c>
      <c r="L31" s="1">
        <v>29</v>
      </c>
      <c r="M31" s="1">
        <v>3</v>
      </c>
      <c r="N31" s="1">
        <v>101.16228640000099</v>
      </c>
      <c r="O31" s="1"/>
      <c r="P31" s="1">
        <v>101.152736299998</v>
      </c>
      <c r="Q31" s="1">
        <v>101.16228640000099</v>
      </c>
      <c r="R31" s="1">
        <v>102.145416899998</v>
      </c>
      <c r="S31" s="1">
        <v>102.145416899998</v>
      </c>
      <c r="T31" s="1">
        <v>102.16302049999599</v>
      </c>
      <c r="U31" s="1">
        <v>103.22948319999701</v>
      </c>
      <c r="V31" s="1" t="s">
        <v>32</v>
      </c>
      <c r="W31" s="1">
        <v>1.0769314999997699</v>
      </c>
      <c r="X31" s="1" t="s">
        <v>33</v>
      </c>
      <c r="Y31" s="1" t="s">
        <v>34</v>
      </c>
      <c r="Z31" s="1">
        <v>1</v>
      </c>
      <c r="AA31" s="1" t="s">
        <v>35</v>
      </c>
      <c r="AB31" s="1" t="s">
        <v>36</v>
      </c>
      <c r="AC31" s="1"/>
      <c r="AD31" s="1" t="s">
        <v>37</v>
      </c>
      <c r="AE31" s="1">
        <v>60.023216980676203</v>
      </c>
      <c r="AF31" s="1" t="s">
        <v>38</v>
      </c>
    </row>
    <row r="32" spans="1:32" x14ac:dyDescent="0.35">
      <c r="A32" s="1">
        <v>110</v>
      </c>
      <c r="B32" s="1">
        <v>135</v>
      </c>
      <c r="C32" s="1">
        <v>270</v>
      </c>
      <c r="D32" s="1">
        <v>30</v>
      </c>
      <c r="E32" s="1">
        <v>0</v>
      </c>
      <c r="F32" s="1">
        <v>3</v>
      </c>
      <c r="G32" s="1" t="s">
        <v>32</v>
      </c>
      <c r="H32" s="1">
        <v>6.8233596000063699</v>
      </c>
      <c r="I32" s="1" t="s">
        <v>33</v>
      </c>
      <c r="J32" s="1">
        <v>3</v>
      </c>
      <c r="K32" s="1">
        <v>0</v>
      </c>
      <c r="L32" s="1">
        <v>30</v>
      </c>
      <c r="M32" s="1">
        <v>9</v>
      </c>
      <c r="N32" s="1">
        <v>103.24524089999601</v>
      </c>
      <c r="O32" s="1"/>
      <c r="P32" s="1">
        <v>103.2356784</v>
      </c>
      <c r="Q32" s="1">
        <v>103.24524089999601</v>
      </c>
      <c r="R32" s="1">
        <v>104.229273099997</v>
      </c>
      <c r="S32" s="1">
        <v>104.229273099997</v>
      </c>
      <c r="T32" s="1">
        <v>104.2459333</v>
      </c>
      <c r="U32" s="1">
        <v>111.0613142</v>
      </c>
      <c r="V32" s="1" t="s">
        <v>32</v>
      </c>
      <c r="W32" s="1">
        <v>6.8233596000063699</v>
      </c>
      <c r="X32" s="1" t="s">
        <v>33</v>
      </c>
      <c r="Y32" s="1" t="s">
        <v>34</v>
      </c>
      <c r="Z32" s="1">
        <v>1</v>
      </c>
      <c r="AA32" s="1" t="s">
        <v>35</v>
      </c>
      <c r="AB32" s="1" t="s">
        <v>36</v>
      </c>
      <c r="AC32" s="1"/>
      <c r="AD32" s="1" t="s">
        <v>37</v>
      </c>
      <c r="AE32" s="1">
        <v>60.023216980676203</v>
      </c>
      <c r="AF32" s="1" t="s">
        <v>38</v>
      </c>
    </row>
    <row r="33" spans="1:32" x14ac:dyDescent="0.35">
      <c r="A33" s="1">
        <v>98</v>
      </c>
      <c r="B33" s="1">
        <v>120</v>
      </c>
      <c r="C33" s="1">
        <v>230</v>
      </c>
      <c r="D33" s="1">
        <v>31</v>
      </c>
      <c r="E33" s="1">
        <v>1</v>
      </c>
      <c r="F33" s="1">
        <v>3</v>
      </c>
      <c r="G33" s="1" t="s">
        <v>32</v>
      </c>
      <c r="H33" s="1">
        <v>2.2792043000008499</v>
      </c>
      <c r="I33" s="1" t="s">
        <v>33</v>
      </c>
      <c r="J33" s="1">
        <v>3</v>
      </c>
      <c r="K33" s="1">
        <v>1</v>
      </c>
      <c r="L33" s="1">
        <v>31</v>
      </c>
      <c r="M33" s="1">
        <v>8</v>
      </c>
      <c r="N33" s="1">
        <v>111.07739569999799</v>
      </c>
      <c r="O33" s="1"/>
      <c r="P33" s="1">
        <v>111.06773950000201</v>
      </c>
      <c r="Q33" s="1">
        <v>111.07739569999799</v>
      </c>
      <c r="R33" s="1">
        <v>112.060493299999</v>
      </c>
      <c r="S33" s="1">
        <v>112.060493299999</v>
      </c>
      <c r="T33" s="1">
        <v>112.077208599999</v>
      </c>
      <c r="U33" s="1">
        <v>114.34467299999901</v>
      </c>
      <c r="V33" s="1" t="s">
        <v>32</v>
      </c>
      <c r="W33" s="1">
        <v>2.2792043000008499</v>
      </c>
      <c r="X33" s="1" t="s">
        <v>33</v>
      </c>
      <c r="Y33" s="1" t="s">
        <v>34</v>
      </c>
      <c r="Z33" s="1">
        <v>1</v>
      </c>
      <c r="AA33" s="1" t="s">
        <v>35</v>
      </c>
      <c r="AB33" s="1" t="s">
        <v>36</v>
      </c>
      <c r="AC33" s="1"/>
      <c r="AD33" s="1" t="s">
        <v>37</v>
      </c>
      <c r="AE33" s="1">
        <v>60.023216980676203</v>
      </c>
      <c r="AF33" s="1" t="s">
        <v>38</v>
      </c>
    </row>
    <row r="34" spans="1:32" x14ac:dyDescent="0.35">
      <c r="A34" s="1">
        <v>15</v>
      </c>
      <c r="B34" s="1">
        <v>35</v>
      </c>
      <c r="C34" s="1">
        <v>13</v>
      </c>
      <c r="D34" s="1">
        <v>32</v>
      </c>
      <c r="E34" s="1">
        <v>2</v>
      </c>
      <c r="F34" s="1">
        <v>3</v>
      </c>
      <c r="G34" s="1" t="s">
        <v>39</v>
      </c>
      <c r="H34" s="1">
        <v>0.95186639999883405</v>
      </c>
      <c r="I34" s="1" t="s">
        <v>33</v>
      </c>
      <c r="J34" s="1">
        <v>3</v>
      </c>
      <c r="K34" s="1">
        <v>2</v>
      </c>
      <c r="L34" s="1">
        <v>32</v>
      </c>
      <c r="M34" s="1">
        <v>1</v>
      </c>
      <c r="N34" s="1">
        <v>114.377102699996</v>
      </c>
      <c r="O34" s="1"/>
      <c r="P34" s="1">
        <v>114.354219100001</v>
      </c>
      <c r="Q34" s="1">
        <v>114.377102699996</v>
      </c>
      <c r="R34" s="1">
        <v>115.360056699995</v>
      </c>
      <c r="S34" s="1">
        <v>115.360056699995</v>
      </c>
      <c r="T34" s="1">
        <v>115.377018999999</v>
      </c>
      <c r="U34" s="1">
        <v>116.32750719999601</v>
      </c>
      <c r="V34" s="1" t="s">
        <v>39</v>
      </c>
      <c r="W34" s="1">
        <v>0.95186639999883405</v>
      </c>
      <c r="X34" s="1" t="s">
        <v>33</v>
      </c>
      <c r="Y34" s="1" t="s">
        <v>34</v>
      </c>
      <c r="Z34" s="1">
        <v>1</v>
      </c>
      <c r="AA34" s="1" t="s">
        <v>35</v>
      </c>
      <c r="AB34" s="1" t="s">
        <v>36</v>
      </c>
      <c r="AC34" s="1"/>
      <c r="AD34" s="1" t="s">
        <v>37</v>
      </c>
      <c r="AE34" s="1">
        <v>60.023216980676203</v>
      </c>
      <c r="AF34" s="1" t="s">
        <v>38</v>
      </c>
    </row>
    <row r="35" spans="1:32" x14ac:dyDescent="0.35">
      <c r="A35" s="1">
        <v>78</v>
      </c>
      <c r="B35" s="1">
        <v>80</v>
      </c>
      <c r="C35" s="1">
        <v>162</v>
      </c>
      <c r="D35" s="1">
        <v>33</v>
      </c>
      <c r="E35" s="1">
        <v>3</v>
      </c>
      <c r="F35" s="1">
        <v>3</v>
      </c>
      <c r="G35" s="1" t="s">
        <v>32</v>
      </c>
      <c r="H35" s="1">
        <v>1.40797939999902</v>
      </c>
      <c r="I35" s="1" t="s">
        <v>33</v>
      </c>
      <c r="J35" s="1">
        <v>3</v>
      </c>
      <c r="K35" s="1">
        <v>3</v>
      </c>
      <c r="L35" s="1">
        <v>33</v>
      </c>
      <c r="M35" s="1">
        <v>6</v>
      </c>
      <c r="N35" s="1">
        <v>116.343188300001</v>
      </c>
      <c r="O35" s="1"/>
      <c r="P35" s="1">
        <v>116.335601400001</v>
      </c>
      <c r="Q35" s="1">
        <v>116.343188300001</v>
      </c>
      <c r="R35" s="1">
        <v>117.326418999997</v>
      </c>
      <c r="S35" s="1">
        <v>117.326418999997</v>
      </c>
      <c r="T35" s="1">
        <v>117.343284099995</v>
      </c>
      <c r="U35" s="1">
        <v>118.743524099998</v>
      </c>
      <c r="V35" s="1" t="s">
        <v>32</v>
      </c>
      <c r="W35" s="1">
        <v>1.40797939999902</v>
      </c>
      <c r="X35" s="1" t="s">
        <v>33</v>
      </c>
      <c r="Y35" s="1" t="s">
        <v>34</v>
      </c>
      <c r="Z35" s="1">
        <v>1</v>
      </c>
      <c r="AA35" s="1" t="s">
        <v>35</v>
      </c>
      <c r="AB35" s="1" t="s">
        <v>36</v>
      </c>
      <c r="AC35" s="1"/>
      <c r="AD35" s="1" t="s">
        <v>37</v>
      </c>
      <c r="AE35" s="1">
        <v>60.023216980676203</v>
      </c>
      <c r="AF35" s="1" t="s">
        <v>38</v>
      </c>
    </row>
    <row r="36" spans="1:32" x14ac:dyDescent="0.35">
      <c r="A36" s="1">
        <v>49</v>
      </c>
      <c r="B36" s="1">
        <v>60</v>
      </c>
      <c r="C36" s="1">
        <v>89</v>
      </c>
      <c r="D36" s="1">
        <v>34</v>
      </c>
      <c r="E36" s="1">
        <v>4</v>
      </c>
      <c r="F36" s="1">
        <v>3</v>
      </c>
      <c r="G36" s="1" t="s">
        <v>32</v>
      </c>
      <c r="H36" s="1">
        <v>0.67708330000459604</v>
      </c>
      <c r="I36" s="1" t="s">
        <v>33</v>
      </c>
      <c r="J36" s="1">
        <v>3</v>
      </c>
      <c r="K36" s="1">
        <v>4</v>
      </c>
      <c r="L36" s="1">
        <v>34</v>
      </c>
      <c r="M36" s="1">
        <v>4</v>
      </c>
      <c r="N36" s="1">
        <v>118.759513799996</v>
      </c>
      <c r="O36" s="1"/>
      <c r="P36" s="1">
        <v>118.748906399996</v>
      </c>
      <c r="Q36" s="1">
        <v>118.759513799996</v>
      </c>
      <c r="R36" s="1">
        <v>119.742672100001</v>
      </c>
      <c r="S36" s="1">
        <v>119.742672100001</v>
      </c>
      <c r="T36" s="1">
        <v>119.759300999998</v>
      </c>
      <c r="U36" s="1">
        <v>120.426540899999</v>
      </c>
      <c r="V36" s="1" t="s">
        <v>32</v>
      </c>
      <c r="W36" s="1">
        <v>0.67708330000459604</v>
      </c>
      <c r="X36" s="1" t="s">
        <v>33</v>
      </c>
      <c r="Y36" s="1" t="s">
        <v>34</v>
      </c>
      <c r="Z36" s="1">
        <v>1</v>
      </c>
      <c r="AA36" s="1" t="s">
        <v>35</v>
      </c>
      <c r="AB36" s="1" t="s">
        <v>36</v>
      </c>
      <c r="AC36" s="1"/>
      <c r="AD36" s="1" t="s">
        <v>37</v>
      </c>
      <c r="AE36" s="1">
        <v>60.023216980676203</v>
      </c>
      <c r="AF36" s="1" t="s">
        <v>38</v>
      </c>
    </row>
    <row r="37" spans="1:32" x14ac:dyDescent="0.35">
      <c r="A37" s="1">
        <v>88</v>
      </c>
      <c r="B37" s="1">
        <v>105</v>
      </c>
      <c r="C37" s="1">
        <v>200</v>
      </c>
      <c r="D37" s="1">
        <v>35</v>
      </c>
      <c r="E37" s="1">
        <v>5</v>
      </c>
      <c r="F37" s="1">
        <v>3</v>
      </c>
      <c r="G37" s="1" t="s">
        <v>32</v>
      </c>
      <c r="H37" s="1">
        <v>0.59058290000393698</v>
      </c>
      <c r="I37" s="1" t="s">
        <v>33</v>
      </c>
      <c r="J37" s="1">
        <v>3</v>
      </c>
      <c r="K37" s="1">
        <v>5</v>
      </c>
      <c r="L37" s="1">
        <v>35</v>
      </c>
      <c r="M37" s="1">
        <v>7</v>
      </c>
      <c r="N37" s="1">
        <v>120.4426304</v>
      </c>
      <c r="O37" s="1"/>
      <c r="P37" s="1">
        <v>120.431770199997</v>
      </c>
      <c r="Q37" s="1">
        <v>120.4426304</v>
      </c>
      <c r="R37" s="1">
        <v>121.42571850000201</v>
      </c>
      <c r="S37" s="1">
        <v>121.42571850000201</v>
      </c>
      <c r="T37" s="1">
        <v>121.44256509999801</v>
      </c>
      <c r="U37" s="1">
        <v>122.02618439999701</v>
      </c>
      <c r="V37" s="1" t="s">
        <v>32</v>
      </c>
      <c r="W37" s="1">
        <v>0.59058290000393698</v>
      </c>
      <c r="X37" s="1" t="s">
        <v>33</v>
      </c>
      <c r="Y37" s="1" t="s">
        <v>34</v>
      </c>
      <c r="Z37" s="1">
        <v>1</v>
      </c>
      <c r="AA37" s="1" t="s">
        <v>35</v>
      </c>
      <c r="AB37" s="1" t="s">
        <v>36</v>
      </c>
      <c r="AC37" s="1"/>
      <c r="AD37" s="1" t="s">
        <v>37</v>
      </c>
      <c r="AE37" s="1">
        <v>60.023216980676203</v>
      </c>
      <c r="AF37" s="1" t="s">
        <v>38</v>
      </c>
    </row>
    <row r="38" spans="1:32" x14ac:dyDescent="0.35">
      <c r="A38" s="1">
        <v>40</v>
      </c>
      <c r="B38" s="1">
        <v>55</v>
      </c>
      <c r="C38" s="1">
        <v>62</v>
      </c>
      <c r="D38" s="1">
        <v>36</v>
      </c>
      <c r="E38" s="1">
        <v>6</v>
      </c>
      <c r="F38" s="1">
        <v>3</v>
      </c>
      <c r="G38" s="1" t="s">
        <v>32</v>
      </c>
      <c r="H38" s="1">
        <v>0.89658079999935503</v>
      </c>
      <c r="I38" s="1" t="s">
        <v>33</v>
      </c>
      <c r="J38" s="1">
        <v>3</v>
      </c>
      <c r="K38" s="1">
        <v>6</v>
      </c>
      <c r="L38" s="1">
        <v>36</v>
      </c>
      <c r="M38" s="1">
        <v>3</v>
      </c>
      <c r="N38" s="1">
        <v>122.043004599996</v>
      </c>
      <c r="O38" s="1"/>
      <c r="P38" s="1">
        <v>122.031343199996</v>
      </c>
      <c r="Q38" s="1">
        <v>122.043004599996</v>
      </c>
      <c r="R38" s="1">
        <v>123.02527050000199</v>
      </c>
      <c r="S38" s="1">
        <v>123.02527050000199</v>
      </c>
      <c r="T38" s="1">
        <v>123.059255799998</v>
      </c>
      <c r="U38" s="1">
        <v>123.925990099996</v>
      </c>
      <c r="V38" s="1" t="s">
        <v>32</v>
      </c>
      <c r="W38" s="1">
        <v>0.89658079999935503</v>
      </c>
      <c r="X38" s="1" t="s">
        <v>33</v>
      </c>
      <c r="Y38" s="1" t="s">
        <v>34</v>
      </c>
      <c r="Z38" s="1">
        <v>1</v>
      </c>
      <c r="AA38" s="1" t="s">
        <v>35</v>
      </c>
      <c r="AB38" s="1" t="s">
        <v>36</v>
      </c>
      <c r="AC38" s="1"/>
      <c r="AD38" s="1" t="s">
        <v>37</v>
      </c>
      <c r="AE38" s="1">
        <v>60.023216980676203</v>
      </c>
      <c r="AF38" s="1" t="s">
        <v>38</v>
      </c>
    </row>
    <row r="39" spans="1:32" x14ac:dyDescent="0.35">
      <c r="A39" s="1">
        <v>27</v>
      </c>
      <c r="B39" s="1">
        <v>50</v>
      </c>
      <c r="C39" s="1">
        <v>21</v>
      </c>
      <c r="D39" s="1">
        <v>37</v>
      </c>
      <c r="E39" s="1">
        <v>7</v>
      </c>
      <c r="F39" s="1">
        <v>3</v>
      </c>
      <c r="G39" s="1" t="s">
        <v>32</v>
      </c>
      <c r="H39" s="1">
        <v>1.1710372000015901</v>
      </c>
      <c r="I39" s="1" t="s">
        <v>33</v>
      </c>
      <c r="J39" s="1">
        <v>3</v>
      </c>
      <c r="K39" s="1">
        <v>7</v>
      </c>
      <c r="L39" s="1">
        <v>37</v>
      </c>
      <c r="M39" s="1">
        <v>2</v>
      </c>
      <c r="N39" s="1">
        <v>123.941845599998</v>
      </c>
      <c r="O39" s="1"/>
      <c r="P39" s="1">
        <v>123.9332603</v>
      </c>
      <c r="Q39" s="1">
        <v>123.941845599998</v>
      </c>
      <c r="R39" s="1">
        <v>124.925145000001</v>
      </c>
      <c r="S39" s="1">
        <v>124.925145000001</v>
      </c>
      <c r="T39" s="1">
        <v>124.94174750000001</v>
      </c>
      <c r="U39" s="1">
        <v>126.109298399998</v>
      </c>
      <c r="V39" s="1" t="s">
        <v>32</v>
      </c>
      <c r="W39" s="1">
        <v>1.1710372000015901</v>
      </c>
      <c r="X39" s="1" t="s">
        <v>33</v>
      </c>
      <c r="Y39" s="1" t="s">
        <v>34</v>
      </c>
      <c r="Z39" s="1">
        <v>1</v>
      </c>
      <c r="AA39" s="1" t="s">
        <v>35</v>
      </c>
      <c r="AB39" s="1" t="s">
        <v>36</v>
      </c>
      <c r="AC39" s="1"/>
      <c r="AD39" s="1" t="s">
        <v>37</v>
      </c>
      <c r="AE39" s="1">
        <v>60.023216980676203</v>
      </c>
      <c r="AF39" s="1" t="s">
        <v>38</v>
      </c>
    </row>
    <row r="40" spans="1:32" x14ac:dyDescent="0.35">
      <c r="A40" s="1">
        <v>67</v>
      </c>
      <c r="B40" s="1">
        <v>75</v>
      </c>
      <c r="C40" s="1">
        <v>119</v>
      </c>
      <c r="D40" s="1">
        <v>38</v>
      </c>
      <c r="E40" s="1">
        <v>8</v>
      </c>
      <c r="F40" s="1">
        <v>3</v>
      </c>
      <c r="G40" s="1" t="s">
        <v>32</v>
      </c>
      <c r="H40" s="1">
        <v>0.59535920000053</v>
      </c>
      <c r="I40" s="1" t="s">
        <v>33</v>
      </c>
      <c r="J40" s="1">
        <v>3</v>
      </c>
      <c r="K40" s="1">
        <v>8</v>
      </c>
      <c r="L40" s="1">
        <v>38</v>
      </c>
      <c r="M40" s="1">
        <v>5</v>
      </c>
      <c r="N40" s="1">
        <v>126.12498259999801</v>
      </c>
      <c r="O40" s="1"/>
      <c r="P40" s="1">
        <v>126.115106999997</v>
      </c>
      <c r="Q40" s="1">
        <v>126.12498259999801</v>
      </c>
      <c r="R40" s="1">
        <v>127.125517799999</v>
      </c>
      <c r="S40" s="1">
        <v>127.125517799999</v>
      </c>
      <c r="T40" s="1">
        <v>127.125517799999</v>
      </c>
      <c r="U40" s="1">
        <v>127.7253872</v>
      </c>
      <c r="V40" s="1" t="s">
        <v>32</v>
      </c>
      <c r="W40" s="1">
        <v>0.59535920000053</v>
      </c>
      <c r="X40" s="1" t="s">
        <v>33</v>
      </c>
      <c r="Y40" s="1" t="s">
        <v>34</v>
      </c>
      <c r="Z40" s="1">
        <v>1</v>
      </c>
      <c r="AA40" s="1" t="s">
        <v>35</v>
      </c>
      <c r="AB40" s="1" t="s">
        <v>36</v>
      </c>
      <c r="AC40" s="1"/>
      <c r="AD40" s="1" t="s">
        <v>37</v>
      </c>
      <c r="AE40" s="1">
        <v>60.023216980676203</v>
      </c>
      <c r="AF40" s="1" t="s">
        <v>38</v>
      </c>
    </row>
    <row r="41" spans="1:32" x14ac:dyDescent="0.35">
      <c r="A41" s="1">
        <v>11</v>
      </c>
      <c r="B41" s="1">
        <v>30</v>
      </c>
      <c r="C41" s="1">
        <v>7</v>
      </c>
      <c r="D41" s="1">
        <v>39</v>
      </c>
      <c r="E41" s="1">
        <v>9</v>
      </c>
      <c r="F41" s="1">
        <v>3</v>
      </c>
      <c r="G41" s="1" t="s">
        <v>39</v>
      </c>
      <c r="H41" s="1">
        <v>0.80851100000290899</v>
      </c>
      <c r="I41" s="1" t="s">
        <v>33</v>
      </c>
      <c r="J41" s="1">
        <v>3</v>
      </c>
      <c r="K41" s="1">
        <v>9</v>
      </c>
      <c r="L41" s="1">
        <v>39</v>
      </c>
      <c r="M41" s="1">
        <v>0</v>
      </c>
      <c r="N41" s="1">
        <v>127.758138299999</v>
      </c>
      <c r="O41" s="1"/>
      <c r="P41" s="1">
        <v>127.73314060000099</v>
      </c>
      <c r="Q41" s="1">
        <v>127.758138299999</v>
      </c>
      <c r="R41" s="1">
        <v>128.724636400002</v>
      </c>
      <c r="S41" s="1">
        <v>128.724636400002</v>
      </c>
      <c r="T41" s="1">
        <v>128.75790079999501</v>
      </c>
      <c r="U41" s="1">
        <v>129.54177849999499</v>
      </c>
      <c r="V41" s="1" t="s">
        <v>39</v>
      </c>
      <c r="W41" s="1">
        <v>0.80851100000290899</v>
      </c>
      <c r="X41" s="1" t="s">
        <v>33</v>
      </c>
      <c r="Y41" s="1" t="s">
        <v>34</v>
      </c>
      <c r="Z41" s="1">
        <v>1</v>
      </c>
      <c r="AA41" s="1" t="s">
        <v>35</v>
      </c>
      <c r="AB41" s="1" t="s">
        <v>36</v>
      </c>
      <c r="AC41" s="1"/>
      <c r="AD41" s="1" t="s">
        <v>37</v>
      </c>
      <c r="AE41" s="1">
        <v>60.023216980676203</v>
      </c>
      <c r="AF41" s="1" t="s">
        <v>38</v>
      </c>
    </row>
    <row r="42" spans="1:32" x14ac:dyDescent="0.35">
      <c r="A42" s="1">
        <v>49</v>
      </c>
      <c r="B42" s="1">
        <v>60</v>
      </c>
      <c r="C42" s="1">
        <v>89</v>
      </c>
      <c r="D42" s="1">
        <v>40</v>
      </c>
      <c r="E42" s="1">
        <v>0</v>
      </c>
      <c r="F42" s="1">
        <v>4</v>
      </c>
      <c r="G42" s="1" t="s">
        <v>32</v>
      </c>
      <c r="H42" s="1">
        <v>1.6039893999986801</v>
      </c>
      <c r="I42" s="1" t="s">
        <v>33</v>
      </c>
      <c r="J42" s="1">
        <v>4</v>
      </c>
      <c r="K42" s="1">
        <v>0</v>
      </c>
      <c r="L42" s="1">
        <v>40</v>
      </c>
      <c r="M42" s="1">
        <v>4</v>
      </c>
      <c r="N42" s="1">
        <v>129.55772379999601</v>
      </c>
      <c r="O42" s="1"/>
      <c r="P42" s="1">
        <v>129.54649980000201</v>
      </c>
      <c r="Q42" s="1">
        <v>129.55772379999601</v>
      </c>
      <c r="R42" s="1">
        <v>130.54094469999799</v>
      </c>
      <c r="S42" s="1">
        <v>130.54094469999799</v>
      </c>
      <c r="T42" s="1">
        <v>130.557750699998</v>
      </c>
      <c r="U42" s="1">
        <v>132.15838899999599</v>
      </c>
      <c r="V42" s="1" t="s">
        <v>32</v>
      </c>
      <c r="W42" s="1">
        <v>1.6039893999986801</v>
      </c>
      <c r="X42" s="1" t="s">
        <v>33</v>
      </c>
      <c r="Y42" s="1" t="s">
        <v>34</v>
      </c>
      <c r="Z42" s="1">
        <v>1</v>
      </c>
      <c r="AA42" s="1" t="s">
        <v>35</v>
      </c>
      <c r="AB42" s="1" t="s">
        <v>36</v>
      </c>
      <c r="AC42" s="1"/>
      <c r="AD42" s="1" t="s">
        <v>37</v>
      </c>
      <c r="AE42" s="1">
        <v>60.023216980676203</v>
      </c>
      <c r="AF42" s="1" t="s">
        <v>38</v>
      </c>
    </row>
    <row r="43" spans="1:32" x14ac:dyDescent="0.35">
      <c r="A43" s="1">
        <v>40</v>
      </c>
      <c r="B43" s="1">
        <v>55</v>
      </c>
      <c r="C43" s="1">
        <v>62</v>
      </c>
      <c r="D43" s="1">
        <v>41</v>
      </c>
      <c r="E43" s="1">
        <v>1</v>
      </c>
      <c r="F43" s="1">
        <v>4</v>
      </c>
      <c r="G43" s="1" t="s">
        <v>32</v>
      </c>
      <c r="H43" s="1">
        <v>0.56632869999884805</v>
      </c>
      <c r="I43" s="1" t="s">
        <v>33</v>
      </c>
      <c r="J43" s="1">
        <v>4</v>
      </c>
      <c r="K43" s="1">
        <v>1</v>
      </c>
      <c r="L43" s="1">
        <v>41</v>
      </c>
      <c r="M43" s="1">
        <v>3</v>
      </c>
      <c r="N43" s="1">
        <v>132.173824099998</v>
      </c>
      <c r="O43" s="1"/>
      <c r="P43" s="1">
        <v>132.16444639999801</v>
      </c>
      <c r="Q43" s="1">
        <v>132.173824099998</v>
      </c>
      <c r="R43" s="1">
        <v>133.15763369999999</v>
      </c>
      <c r="S43" s="1">
        <v>133.15763369999999</v>
      </c>
      <c r="T43" s="1">
        <v>133.17416689999601</v>
      </c>
      <c r="U43" s="1">
        <v>133.724613599995</v>
      </c>
      <c r="V43" s="1" t="s">
        <v>32</v>
      </c>
      <c r="W43" s="1">
        <v>0.56632869999884805</v>
      </c>
      <c r="X43" s="1" t="s">
        <v>33</v>
      </c>
      <c r="Y43" s="1" t="s">
        <v>34</v>
      </c>
      <c r="Z43" s="1">
        <v>1</v>
      </c>
      <c r="AA43" s="1" t="s">
        <v>35</v>
      </c>
      <c r="AB43" s="1" t="s">
        <v>36</v>
      </c>
      <c r="AC43" s="1"/>
      <c r="AD43" s="1" t="s">
        <v>37</v>
      </c>
      <c r="AE43" s="1">
        <v>60.023216980676203</v>
      </c>
      <c r="AF43" s="1" t="s">
        <v>38</v>
      </c>
    </row>
    <row r="44" spans="1:32" x14ac:dyDescent="0.35">
      <c r="A44" s="1">
        <v>27</v>
      </c>
      <c r="B44" s="1">
        <v>50</v>
      </c>
      <c r="C44" s="1">
        <v>21</v>
      </c>
      <c r="D44" s="1">
        <v>42</v>
      </c>
      <c r="E44" s="1">
        <v>2</v>
      </c>
      <c r="F44" s="1">
        <v>4</v>
      </c>
      <c r="G44" s="1" t="s">
        <v>32</v>
      </c>
      <c r="H44" s="1">
        <v>0.46621669999876703</v>
      </c>
      <c r="I44" s="1" t="s">
        <v>33</v>
      </c>
      <c r="J44" s="1">
        <v>4</v>
      </c>
      <c r="K44" s="1">
        <v>2</v>
      </c>
      <c r="L44" s="1">
        <v>42</v>
      </c>
      <c r="M44" s="1">
        <v>2</v>
      </c>
      <c r="N44" s="1">
        <v>133.740441699999</v>
      </c>
      <c r="O44" s="1"/>
      <c r="P44" s="1">
        <v>133.7289868</v>
      </c>
      <c r="Q44" s="1">
        <v>133.740441699999</v>
      </c>
      <c r="R44" s="1">
        <v>134.740169299999</v>
      </c>
      <c r="S44" s="1">
        <v>134.740169299999</v>
      </c>
      <c r="T44" s="1">
        <v>134.740169299999</v>
      </c>
      <c r="U44" s="1">
        <v>135.20738310000101</v>
      </c>
      <c r="V44" s="1" t="s">
        <v>32</v>
      </c>
      <c r="W44" s="1">
        <v>0.46621669999876703</v>
      </c>
      <c r="X44" s="1" t="s">
        <v>33</v>
      </c>
      <c r="Y44" s="1" t="s">
        <v>34</v>
      </c>
      <c r="Z44" s="1">
        <v>1</v>
      </c>
      <c r="AA44" s="1" t="s">
        <v>35</v>
      </c>
      <c r="AB44" s="1" t="s">
        <v>36</v>
      </c>
      <c r="AC44" s="1"/>
      <c r="AD44" s="1" t="s">
        <v>37</v>
      </c>
      <c r="AE44" s="1">
        <v>60.023216980676203</v>
      </c>
      <c r="AF44" s="1" t="s">
        <v>38</v>
      </c>
    </row>
    <row r="45" spans="1:32" x14ac:dyDescent="0.35">
      <c r="A45" s="1">
        <v>110</v>
      </c>
      <c r="B45" s="1">
        <v>135</v>
      </c>
      <c r="C45" s="1">
        <v>270</v>
      </c>
      <c r="D45" s="1">
        <v>43</v>
      </c>
      <c r="E45" s="1">
        <v>3</v>
      </c>
      <c r="F45" s="1">
        <v>4</v>
      </c>
      <c r="G45" s="1" t="s">
        <v>32</v>
      </c>
      <c r="H45" s="1">
        <v>0.70570759999827704</v>
      </c>
      <c r="I45" s="1" t="s">
        <v>33</v>
      </c>
      <c r="J45" s="1">
        <v>4</v>
      </c>
      <c r="K45" s="1">
        <v>3</v>
      </c>
      <c r="L45" s="1">
        <v>43</v>
      </c>
      <c r="M45" s="1">
        <v>9</v>
      </c>
      <c r="N45" s="1">
        <v>135.22349509999901</v>
      </c>
      <c r="O45" s="1"/>
      <c r="P45" s="1">
        <v>135.214481999995</v>
      </c>
      <c r="Q45" s="1">
        <v>135.22349509999901</v>
      </c>
      <c r="R45" s="1">
        <v>136.20666439999999</v>
      </c>
      <c r="S45" s="1">
        <v>136.20666439999999</v>
      </c>
      <c r="T45" s="1">
        <v>136.223244200002</v>
      </c>
      <c r="U45" s="1">
        <v>136.92416639999999</v>
      </c>
      <c r="V45" s="1" t="s">
        <v>32</v>
      </c>
      <c r="W45" s="1">
        <v>0.70570759999827704</v>
      </c>
      <c r="X45" s="1" t="s">
        <v>33</v>
      </c>
      <c r="Y45" s="1" t="s">
        <v>34</v>
      </c>
      <c r="Z45" s="1">
        <v>1</v>
      </c>
      <c r="AA45" s="1" t="s">
        <v>35</v>
      </c>
      <c r="AB45" s="1" t="s">
        <v>36</v>
      </c>
      <c r="AC45" s="1"/>
      <c r="AD45" s="1" t="s">
        <v>37</v>
      </c>
      <c r="AE45" s="1">
        <v>60.023216980676203</v>
      </c>
      <c r="AF45" s="1" t="s">
        <v>38</v>
      </c>
    </row>
    <row r="46" spans="1:32" x14ac:dyDescent="0.35">
      <c r="A46" s="1">
        <v>78</v>
      </c>
      <c r="B46" s="1">
        <v>80</v>
      </c>
      <c r="C46" s="1">
        <v>162</v>
      </c>
      <c r="D46" s="1">
        <v>44</v>
      </c>
      <c r="E46" s="1">
        <v>4</v>
      </c>
      <c r="F46" s="1">
        <v>4</v>
      </c>
      <c r="G46" s="1" t="s">
        <v>32</v>
      </c>
      <c r="H46" s="1">
        <v>0.93157990000327096</v>
      </c>
      <c r="I46" s="1" t="s">
        <v>33</v>
      </c>
      <c r="J46" s="1">
        <v>4</v>
      </c>
      <c r="K46" s="1">
        <v>4</v>
      </c>
      <c r="L46" s="1">
        <v>44</v>
      </c>
      <c r="M46" s="1">
        <v>6</v>
      </c>
      <c r="N46" s="1">
        <v>136.93982040000199</v>
      </c>
      <c r="O46" s="1"/>
      <c r="P46" s="1">
        <v>136.93196809999699</v>
      </c>
      <c r="Q46" s="1">
        <v>136.93982040000199</v>
      </c>
      <c r="R46" s="1">
        <v>137.93962139999999</v>
      </c>
      <c r="S46" s="1">
        <v>137.93962139999999</v>
      </c>
      <c r="T46" s="1">
        <v>137.93962139999999</v>
      </c>
      <c r="U46" s="1">
        <v>138.87386800000201</v>
      </c>
      <c r="V46" s="1" t="s">
        <v>32</v>
      </c>
      <c r="W46" s="1">
        <v>0.93157990000327096</v>
      </c>
      <c r="X46" s="1" t="s">
        <v>33</v>
      </c>
      <c r="Y46" s="1" t="s">
        <v>34</v>
      </c>
      <c r="Z46" s="1">
        <v>1</v>
      </c>
      <c r="AA46" s="1" t="s">
        <v>35</v>
      </c>
      <c r="AB46" s="1" t="s">
        <v>36</v>
      </c>
      <c r="AC46" s="1"/>
      <c r="AD46" s="1" t="s">
        <v>37</v>
      </c>
      <c r="AE46" s="1">
        <v>60.023216980676203</v>
      </c>
      <c r="AF46" s="1" t="s">
        <v>38</v>
      </c>
    </row>
    <row r="47" spans="1:32" x14ac:dyDescent="0.35">
      <c r="A47" s="1">
        <v>67</v>
      </c>
      <c r="B47" s="1">
        <v>75</v>
      </c>
      <c r="C47" s="1">
        <v>119</v>
      </c>
      <c r="D47" s="1">
        <v>45</v>
      </c>
      <c r="E47" s="1">
        <v>5</v>
      </c>
      <c r="F47" s="1">
        <v>4</v>
      </c>
      <c r="G47" s="1" t="s">
        <v>32</v>
      </c>
      <c r="H47" s="1">
        <v>0.829497099999571</v>
      </c>
      <c r="I47" s="1" t="s">
        <v>33</v>
      </c>
      <c r="J47" s="1">
        <v>4</v>
      </c>
      <c r="K47" s="1">
        <v>5</v>
      </c>
      <c r="L47" s="1">
        <v>45</v>
      </c>
      <c r="M47" s="1">
        <v>5</v>
      </c>
      <c r="N47" s="1">
        <v>138.90647079999999</v>
      </c>
      <c r="O47" s="1"/>
      <c r="P47" s="1">
        <v>138.88447239999999</v>
      </c>
      <c r="Q47" s="1">
        <v>138.90647079999999</v>
      </c>
      <c r="R47" s="1">
        <v>139.87306230000101</v>
      </c>
      <c r="S47" s="1">
        <v>139.87306230000101</v>
      </c>
      <c r="T47" s="1">
        <v>139.90609640000099</v>
      </c>
      <c r="U47" s="1">
        <v>140.70697310000099</v>
      </c>
      <c r="V47" s="1" t="s">
        <v>32</v>
      </c>
      <c r="W47" s="1">
        <v>0.829497099999571</v>
      </c>
      <c r="X47" s="1" t="s">
        <v>33</v>
      </c>
      <c r="Y47" s="1" t="s">
        <v>34</v>
      </c>
      <c r="Z47" s="1">
        <v>1</v>
      </c>
      <c r="AA47" s="1" t="s">
        <v>35</v>
      </c>
      <c r="AB47" s="1" t="s">
        <v>36</v>
      </c>
      <c r="AC47" s="1"/>
      <c r="AD47" s="1" t="s">
        <v>37</v>
      </c>
      <c r="AE47" s="1">
        <v>60.023216980676203</v>
      </c>
      <c r="AF47" s="1" t="s">
        <v>38</v>
      </c>
    </row>
    <row r="48" spans="1:32" x14ac:dyDescent="0.35">
      <c r="A48" s="1">
        <v>88</v>
      </c>
      <c r="B48" s="1">
        <v>105</v>
      </c>
      <c r="C48" s="1">
        <v>200</v>
      </c>
      <c r="D48" s="1">
        <v>46</v>
      </c>
      <c r="E48" s="1">
        <v>6</v>
      </c>
      <c r="F48" s="1">
        <v>4</v>
      </c>
      <c r="G48" s="1" t="s">
        <v>32</v>
      </c>
      <c r="H48" s="1">
        <v>0.809804500000609</v>
      </c>
      <c r="I48" s="1" t="s">
        <v>33</v>
      </c>
      <c r="J48" s="1">
        <v>4</v>
      </c>
      <c r="K48" s="1">
        <v>6</v>
      </c>
      <c r="L48" s="1">
        <v>46</v>
      </c>
      <c r="M48" s="1">
        <v>7</v>
      </c>
      <c r="N48" s="1">
        <v>140.72241399999601</v>
      </c>
      <c r="O48" s="1"/>
      <c r="P48" s="1">
        <v>140.713295199995</v>
      </c>
      <c r="Q48" s="1">
        <v>140.72241399999601</v>
      </c>
      <c r="R48" s="1">
        <v>141.706054499998</v>
      </c>
      <c r="S48" s="1">
        <v>141.706054499998</v>
      </c>
      <c r="T48" s="1">
        <v>141.72298639999599</v>
      </c>
      <c r="U48" s="1">
        <v>142.523041399996</v>
      </c>
      <c r="V48" s="1" t="s">
        <v>32</v>
      </c>
      <c r="W48" s="1">
        <v>0.809804500000609</v>
      </c>
      <c r="X48" s="1" t="s">
        <v>33</v>
      </c>
      <c r="Y48" s="1" t="s">
        <v>34</v>
      </c>
      <c r="Z48" s="1">
        <v>1</v>
      </c>
      <c r="AA48" s="1" t="s">
        <v>35</v>
      </c>
      <c r="AB48" s="1" t="s">
        <v>36</v>
      </c>
      <c r="AC48" s="1"/>
      <c r="AD48" s="1" t="s">
        <v>37</v>
      </c>
      <c r="AE48" s="1">
        <v>60.023216980676203</v>
      </c>
      <c r="AF48" s="1" t="s">
        <v>38</v>
      </c>
    </row>
    <row r="49" spans="1:32" x14ac:dyDescent="0.35">
      <c r="A49" s="1">
        <v>11</v>
      </c>
      <c r="B49" s="1">
        <v>30</v>
      </c>
      <c r="C49" s="1">
        <v>7</v>
      </c>
      <c r="D49" s="1">
        <v>47</v>
      </c>
      <c r="E49" s="1">
        <v>7</v>
      </c>
      <c r="F49" s="1">
        <v>4</v>
      </c>
      <c r="G49" s="1" t="s">
        <v>39</v>
      </c>
      <c r="H49" s="1">
        <v>0.65265300000464699</v>
      </c>
      <c r="I49" s="1" t="s">
        <v>33</v>
      </c>
      <c r="J49" s="1">
        <v>4</v>
      </c>
      <c r="K49" s="1">
        <v>7</v>
      </c>
      <c r="L49" s="1">
        <v>47</v>
      </c>
      <c r="M49" s="1">
        <v>0</v>
      </c>
      <c r="N49" s="1">
        <v>142.538765899997</v>
      </c>
      <c r="O49" s="1"/>
      <c r="P49" s="1">
        <v>142.53050829999799</v>
      </c>
      <c r="Q49" s="1">
        <v>142.538765899997</v>
      </c>
      <c r="R49" s="1">
        <v>143.53886219999501</v>
      </c>
      <c r="S49" s="1">
        <v>143.53886219999501</v>
      </c>
      <c r="T49" s="1">
        <v>143.53886219999501</v>
      </c>
      <c r="U49" s="1">
        <v>144.206122199997</v>
      </c>
      <c r="V49" s="1" t="s">
        <v>39</v>
      </c>
      <c r="W49" s="1">
        <v>0.65265300000464699</v>
      </c>
      <c r="X49" s="1" t="s">
        <v>33</v>
      </c>
      <c r="Y49" s="1" t="s">
        <v>34</v>
      </c>
      <c r="Z49" s="1">
        <v>1</v>
      </c>
      <c r="AA49" s="1" t="s">
        <v>35</v>
      </c>
      <c r="AB49" s="1" t="s">
        <v>36</v>
      </c>
      <c r="AC49" s="1"/>
      <c r="AD49" s="1" t="s">
        <v>37</v>
      </c>
      <c r="AE49" s="1">
        <v>60.023216980676203</v>
      </c>
      <c r="AF49" s="1" t="s">
        <v>38</v>
      </c>
    </row>
    <row r="50" spans="1:32" x14ac:dyDescent="0.35">
      <c r="A50" s="1">
        <v>15</v>
      </c>
      <c r="B50" s="1">
        <v>35</v>
      </c>
      <c r="C50" s="1">
        <v>13</v>
      </c>
      <c r="D50" s="1">
        <v>48</v>
      </c>
      <c r="E50" s="1">
        <v>8</v>
      </c>
      <c r="F50" s="1">
        <v>4</v>
      </c>
      <c r="G50" s="1" t="s">
        <v>39</v>
      </c>
      <c r="H50" s="1">
        <v>0.83450409999932096</v>
      </c>
      <c r="I50" s="1" t="s">
        <v>33</v>
      </c>
      <c r="J50" s="1">
        <v>4</v>
      </c>
      <c r="K50" s="1">
        <v>8</v>
      </c>
      <c r="L50" s="1">
        <v>48</v>
      </c>
      <c r="M50" s="1">
        <v>1</v>
      </c>
      <c r="N50" s="1">
        <v>144.22201299999799</v>
      </c>
      <c r="O50" s="1"/>
      <c r="P50" s="1">
        <v>144.21265390000099</v>
      </c>
      <c r="Q50" s="1">
        <v>144.22201299999799</v>
      </c>
      <c r="R50" s="1">
        <v>145.2052272</v>
      </c>
      <c r="S50" s="1">
        <v>145.2052272</v>
      </c>
      <c r="T50" s="1">
        <v>145.221952200001</v>
      </c>
      <c r="U50" s="1">
        <v>146.055836999999</v>
      </c>
      <c r="V50" s="1" t="s">
        <v>39</v>
      </c>
      <c r="W50" s="1">
        <v>0.83450409999932096</v>
      </c>
      <c r="X50" s="1" t="s">
        <v>33</v>
      </c>
      <c r="Y50" s="1" t="s">
        <v>34</v>
      </c>
      <c r="Z50" s="1">
        <v>1</v>
      </c>
      <c r="AA50" s="1" t="s">
        <v>35</v>
      </c>
      <c r="AB50" s="1" t="s">
        <v>36</v>
      </c>
      <c r="AC50" s="1"/>
      <c r="AD50" s="1" t="s">
        <v>37</v>
      </c>
      <c r="AE50" s="1">
        <v>60.023216980676203</v>
      </c>
      <c r="AF50" s="1" t="s">
        <v>38</v>
      </c>
    </row>
    <row r="51" spans="1:32" x14ac:dyDescent="0.35">
      <c r="A51" s="1">
        <v>98</v>
      </c>
      <c r="B51" s="1">
        <v>120</v>
      </c>
      <c r="C51" s="1">
        <v>230</v>
      </c>
      <c r="D51" s="1">
        <v>49</v>
      </c>
      <c r="E51" s="1">
        <v>9</v>
      </c>
      <c r="F51" s="1">
        <v>4</v>
      </c>
      <c r="G51" s="1" t="s">
        <v>32</v>
      </c>
      <c r="H51" s="1">
        <v>1.1421004000003401</v>
      </c>
      <c r="I51" s="1" t="s">
        <v>33</v>
      </c>
      <c r="J51" s="1">
        <v>4</v>
      </c>
      <c r="K51" s="1">
        <v>9</v>
      </c>
      <c r="L51" s="1">
        <v>49</v>
      </c>
      <c r="M51" s="1">
        <v>8</v>
      </c>
      <c r="N51" s="1">
        <v>146.07157290000001</v>
      </c>
      <c r="O51" s="1"/>
      <c r="P51" s="1">
        <v>146.0644341</v>
      </c>
      <c r="Q51" s="1">
        <v>146.07157290000001</v>
      </c>
      <c r="R51" s="1">
        <v>147.05494159999901</v>
      </c>
      <c r="S51" s="1">
        <v>147.05494159999901</v>
      </c>
      <c r="T51" s="1">
        <v>147.07158419999899</v>
      </c>
      <c r="U51" s="1">
        <v>148.205446599997</v>
      </c>
      <c r="V51" s="1" t="s">
        <v>32</v>
      </c>
      <c r="W51" s="1">
        <v>1.1421004000003401</v>
      </c>
      <c r="X51" s="1" t="s">
        <v>33</v>
      </c>
      <c r="Y51" s="1" t="s">
        <v>34</v>
      </c>
      <c r="Z51" s="1">
        <v>1</v>
      </c>
      <c r="AA51" s="1" t="s">
        <v>35</v>
      </c>
      <c r="AB51" s="1" t="s">
        <v>36</v>
      </c>
      <c r="AC51" s="1"/>
      <c r="AD51" s="1" t="s">
        <v>37</v>
      </c>
      <c r="AE51" s="1">
        <v>60.023216980676203</v>
      </c>
      <c r="AF51" s="1" t="s">
        <v>38</v>
      </c>
    </row>
    <row r="52" spans="1:32" x14ac:dyDescent="0.35">
      <c r="A52" s="1">
        <v>78</v>
      </c>
      <c r="B52" s="1">
        <v>80</v>
      </c>
      <c r="C52" s="1">
        <v>162</v>
      </c>
      <c r="D52" s="1">
        <v>50</v>
      </c>
      <c r="E52" s="1">
        <v>0</v>
      </c>
      <c r="F52" s="1">
        <v>5</v>
      </c>
      <c r="G52" s="1" t="s">
        <v>32</v>
      </c>
      <c r="H52" s="1">
        <v>1.27116950000345</v>
      </c>
      <c r="I52" s="1" t="s">
        <v>33</v>
      </c>
      <c r="J52" s="1">
        <v>5</v>
      </c>
      <c r="K52" s="1">
        <v>0</v>
      </c>
      <c r="L52" s="1">
        <v>50</v>
      </c>
      <c r="M52" s="1">
        <v>6</v>
      </c>
      <c r="N52" s="1">
        <v>148.22140159999901</v>
      </c>
      <c r="O52" s="1"/>
      <c r="P52" s="1">
        <v>148.21230890000101</v>
      </c>
      <c r="Q52" s="1">
        <v>148.22140159999901</v>
      </c>
      <c r="R52" s="1">
        <v>149.20450429999599</v>
      </c>
      <c r="S52" s="1">
        <v>149.20450429999599</v>
      </c>
      <c r="T52" s="1">
        <v>149.22102129999899</v>
      </c>
      <c r="U52" s="1">
        <v>150.4889684</v>
      </c>
      <c r="V52" s="1" t="s">
        <v>32</v>
      </c>
      <c r="W52" s="1">
        <v>1.27116950000345</v>
      </c>
      <c r="X52" s="1" t="s">
        <v>33</v>
      </c>
      <c r="Y52" s="1" t="s">
        <v>34</v>
      </c>
      <c r="Z52" s="1">
        <v>1</v>
      </c>
      <c r="AA52" s="1" t="s">
        <v>35</v>
      </c>
      <c r="AB52" s="1" t="s">
        <v>36</v>
      </c>
      <c r="AC52" s="1"/>
      <c r="AD52" s="1" t="s">
        <v>37</v>
      </c>
      <c r="AE52" s="1">
        <v>60.023216980676203</v>
      </c>
      <c r="AF52" s="1" t="s">
        <v>38</v>
      </c>
    </row>
    <row r="53" spans="1:32" x14ac:dyDescent="0.35">
      <c r="A53" s="1">
        <v>110</v>
      </c>
      <c r="B53" s="1">
        <v>135</v>
      </c>
      <c r="C53" s="1">
        <v>270</v>
      </c>
      <c r="D53" s="1">
        <v>51</v>
      </c>
      <c r="E53" s="1">
        <v>1</v>
      </c>
      <c r="F53" s="1">
        <v>5</v>
      </c>
      <c r="G53" s="1" t="s">
        <v>32</v>
      </c>
      <c r="H53" s="1">
        <v>1.0724110000010101</v>
      </c>
      <c r="I53" s="1" t="s">
        <v>33</v>
      </c>
      <c r="J53" s="1">
        <v>5</v>
      </c>
      <c r="K53" s="1">
        <v>1</v>
      </c>
      <c r="L53" s="1">
        <v>51</v>
      </c>
      <c r="M53" s="1">
        <v>9</v>
      </c>
      <c r="N53" s="1">
        <v>150.504121799996</v>
      </c>
      <c r="O53" s="1"/>
      <c r="P53" s="1">
        <v>150.496487199998</v>
      </c>
      <c r="Q53" s="1">
        <v>150.504121799996</v>
      </c>
      <c r="R53" s="1">
        <v>151.487852799997</v>
      </c>
      <c r="S53" s="1">
        <v>151.487852799997</v>
      </c>
      <c r="T53" s="1">
        <v>151.504445400001</v>
      </c>
      <c r="U53" s="1">
        <v>152.57160099999601</v>
      </c>
      <c r="V53" s="1" t="s">
        <v>32</v>
      </c>
      <c r="W53" s="1">
        <v>1.0724110000010101</v>
      </c>
      <c r="X53" s="1" t="s">
        <v>33</v>
      </c>
      <c r="Y53" s="1" t="s">
        <v>34</v>
      </c>
      <c r="Z53" s="1">
        <v>1</v>
      </c>
      <c r="AA53" s="1" t="s">
        <v>35</v>
      </c>
      <c r="AB53" s="1" t="s">
        <v>36</v>
      </c>
      <c r="AC53" s="1"/>
      <c r="AD53" s="1" t="s">
        <v>37</v>
      </c>
      <c r="AE53" s="1">
        <v>60.023216980676203</v>
      </c>
      <c r="AF53" s="1" t="s">
        <v>38</v>
      </c>
    </row>
    <row r="54" spans="1:32" x14ac:dyDescent="0.35">
      <c r="A54" s="1">
        <v>98</v>
      </c>
      <c r="B54" s="1">
        <v>120</v>
      </c>
      <c r="C54" s="1">
        <v>230</v>
      </c>
      <c r="D54" s="1">
        <v>52</v>
      </c>
      <c r="E54" s="1">
        <v>2</v>
      </c>
      <c r="F54" s="1">
        <v>5</v>
      </c>
      <c r="G54" s="1" t="s">
        <v>32</v>
      </c>
      <c r="H54" s="1">
        <v>2.5514379000014702</v>
      </c>
      <c r="I54" s="1" t="s">
        <v>33</v>
      </c>
      <c r="J54" s="1">
        <v>5</v>
      </c>
      <c r="K54" s="1">
        <v>2</v>
      </c>
      <c r="L54" s="1">
        <v>52</v>
      </c>
      <c r="M54" s="1">
        <v>8</v>
      </c>
      <c r="N54" s="1">
        <v>152.58717069999599</v>
      </c>
      <c r="O54" s="1"/>
      <c r="P54" s="1">
        <v>152.57912489999501</v>
      </c>
      <c r="Q54" s="1">
        <v>152.58717069999599</v>
      </c>
      <c r="R54" s="1">
        <v>153.58705850000101</v>
      </c>
      <c r="S54" s="1">
        <v>153.58705850000101</v>
      </c>
      <c r="T54" s="1">
        <v>153.58705850000101</v>
      </c>
      <c r="U54" s="1">
        <v>156.154096899997</v>
      </c>
      <c r="V54" s="1" t="s">
        <v>32</v>
      </c>
      <c r="W54" s="1">
        <v>2.5514379000014702</v>
      </c>
      <c r="X54" s="1" t="s">
        <v>33</v>
      </c>
      <c r="Y54" s="1" t="s">
        <v>34</v>
      </c>
      <c r="Z54" s="1">
        <v>1</v>
      </c>
      <c r="AA54" s="1" t="s">
        <v>35</v>
      </c>
      <c r="AB54" s="1" t="s">
        <v>36</v>
      </c>
      <c r="AC54" s="1"/>
      <c r="AD54" s="1" t="s">
        <v>37</v>
      </c>
      <c r="AE54" s="1">
        <v>60.023216980676203</v>
      </c>
      <c r="AF54" s="1" t="s">
        <v>38</v>
      </c>
    </row>
    <row r="55" spans="1:32" x14ac:dyDescent="0.35">
      <c r="A55" s="1">
        <v>11</v>
      </c>
      <c r="B55" s="1">
        <v>30</v>
      </c>
      <c r="C55" s="1">
        <v>7</v>
      </c>
      <c r="D55" s="1">
        <v>53</v>
      </c>
      <c r="E55" s="1">
        <v>3</v>
      </c>
      <c r="F55" s="1">
        <v>5</v>
      </c>
      <c r="G55" s="1" t="s">
        <v>39</v>
      </c>
      <c r="H55" s="1">
        <v>6.0829135000021699</v>
      </c>
      <c r="I55" s="1" t="s">
        <v>33</v>
      </c>
      <c r="J55" s="1">
        <v>5</v>
      </c>
      <c r="K55" s="1">
        <v>3</v>
      </c>
      <c r="L55" s="1">
        <v>53</v>
      </c>
      <c r="M55" s="1">
        <v>0</v>
      </c>
      <c r="N55" s="1">
        <v>156.17012519999801</v>
      </c>
      <c r="O55" s="1"/>
      <c r="P55" s="1">
        <v>156.15991809999801</v>
      </c>
      <c r="Q55" s="1">
        <v>156.17012519999801</v>
      </c>
      <c r="R55" s="1">
        <v>157.169875200001</v>
      </c>
      <c r="S55" s="1">
        <v>157.169875200001</v>
      </c>
      <c r="T55" s="1">
        <v>157.169875200001</v>
      </c>
      <c r="U55" s="1">
        <v>163.26987060000101</v>
      </c>
      <c r="V55" s="1" t="s">
        <v>39</v>
      </c>
      <c r="W55" s="1">
        <v>6.0829135000021699</v>
      </c>
      <c r="X55" s="1" t="s">
        <v>33</v>
      </c>
      <c r="Y55" s="1" t="s">
        <v>34</v>
      </c>
      <c r="Z55" s="1">
        <v>1</v>
      </c>
      <c r="AA55" s="1" t="s">
        <v>35</v>
      </c>
      <c r="AB55" s="1" t="s">
        <v>36</v>
      </c>
      <c r="AC55" s="1"/>
      <c r="AD55" s="1" t="s">
        <v>37</v>
      </c>
      <c r="AE55" s="1">
        <v>60.023216980676203</v>
      </c>
      <c r="AF55" s="1" t="s">
        <v>38</v>
      </c>
    </row>
    <row r="56" spans="1:32" x14ac:dyDescent="0.35">
      <c r="A56" s="1">
        <v>27</v>
      </c>
      <c r="B56" s="1">
        <v>50</v>
      </c>
      <c r="C56" s="1">
        <v>21</v>
      </c>
      <c r="D56" s="1">
        <v>54</v>
      </c>
      <c r="E56" s="1">
        <v>4</v>
      </c>
      <c r="F56" s="1">
        <v>5</v>
      </c>
      <c r="G56" s="1" t="s">
        <v>32</v>
      </c>
      <c r="H56" s="1">
        <v>0.84602070000255403</v>
      </c>
      <c r="I56" s="1" t="s">
        <v>33</v>
      </c>
      <c r="J56" s="1">
        <v>5</v>
      </c>
      <c r="K56" s="1">
        <v>4</v>
      </c>
      <c r="L56" s="1">
        <v>54</v>
      </c>
      <c r="M56" s="1">
        <v>2</v>
      </c>
      <c r="N56" s="1">
        <v>163.28589269999699</v>
      </c>
      <c r="O56" s="1"/>
      <c r="P56" s="1">
        <v>163.2755483</v>
      </c>
      <c r="Q56" s="1">
        <v>163.28589269999699</v>
      </c>
      <c r="R56" s="1">
        <v>164.269468699996</v>
      </c>
      <c r="S56" s="1">
        <v>164.269468699996</v>
      </c>
      <c r="T56" s="1">
        <v>164.28607249999899</v>
      </c>
      <c r="U56" s="1">
        <v>165.11987869999501</v>
      </c>
      <c r="V56" s="1" t="s">
        <v>32</v>
      </c>
      <c r="W56" s="1">
        <v>0.84602070000255403</v>
      </c>
      <c r="X56" s="1" t="s">
        <v>33</v>
      </c>
      <c r="Y56" s="1" t="s">
        <v>34</v>
      </c>
      <c r="Z56" s="1">
        <v>1</v>
      </c>
      <c r="AA56" s="1" t="s">
        <v>35</v>
      </c>
      <c r="AB56" s="1" t="s">
        <v>36</v>
      </c>
      <c r="AC56" s="1"/>
      <c r="AD56" s="1" t="s">
        <v>37</v>
      </c>
      <c r="AE56" s="1">
        <v>60.023216980676203</v>
      </c>
      <c r="AF56" s="1" t="s">
        <v>38</v>
      </c>
    </row>
    <row r="57" spans="1:32" x14ac:dyDescent="0.35">
      <c r="A57" s="1">
        <v>40</v>
      </c>
      <c r="B57" s="1">
        <v>55</v>
      </c>
      <c r="C57" s="1">
        <v>62</v>
      </c>
      <c r="D57" s="1">
        <v>55</v>
      </c>
      <c r="E57" s="1">
        <v>5</v>
      </c>
      <c r="F57" s="1">
        <v>5</v>
      </c>
      <c r="G57" s="1" t="s">
        <v>32</v>
      </c>
      <c r="H57" s="1">
        <v>0.54361090000020296</v>
      </c>
      <c r="I57" s="1" t="s">
        <v>33</v>
      </c>
      <c r="J57" s="1">
        <v>5</v>
      </c>
      <c r="K57" s="1">
        <v>5</v>
      </c>
      <c r="L57" s="1">
        <v>55</v>
      </c>
      <c r="M57" s="1">
        <v>3</v>
      </c>
      <c r="N57" s="1">
        <v>165.15185719999801</v>
      </c>
      <c r="O57" s="1"/>
      <c r="P57" s="1">
        <v>165.12860949999501</v>
      </c>
      <c r="Q57" s="1">
        <v>165.15185719999801</v>
      </c>
      <c r="R57" s="1">
        <v>166.13504760000001</v>
      </c>
      <c r="S57" s="1">
        <v>166.13504760000001</v>
      </c>
      <c r="T57" s="1">
        <v>166.15174459999901</v>
      </c>
      <c r="U57" s="1">
        <v>166.685532700001</v>
      </c>
      <c r="V57" s="1" t="s">
        <v>32</v>
      </c>
      <c r="W57" s="1">
        <v>0.54361090000020296</v>
      </c>
      <c r="X57" s="1" t="s">
        <v>33</v>
      </c>
      <c r="Y57" s="1" t="s">
        <v>34</v>
      </c>
      <c r="Z57" s="1">
        <v>1</v>
      </c>
      <c r="AA57" s="1" t="s">
        <v>35</v>
      </c>
      <c r="AB57" s="1" t="s">
        <v>36</v>
      </c>
      <c r="AC57" s="1"/>
      <c r="AD57" s="1" t="s">
        <v>37</v>
      </c>
      <c r="AE57" s="1">
        <v>60.023216980676203</v>
      </c>
      <c r="AF57" s="1" t="s">
        <v>38</v>
      </c>
    </row>
    <row r="58" spans="1:32" x14ac:dyDescent="0.35">
      <c r="A58" s="1">
        <v>88</v>
      </c>
      <c r="B58" s="1">
        <v>105</v>
      </c>
      <c r="C58" s="1">
        <v>200</v>
      </c>
      <c r="D58" s="1">
        <v>56</v>
      </c>
      <c r="E58" s="1">
        <v>6</v>
      </c>
      <c r="F58" s="1">
        <v>5</v>
      </c>
      <c r="G58" s="1" t="s">
        <v>32</v>
      </c>
      <c r="H58" s="1">
        <v>1.36153479999484</v>
      </c>
      <c r="I58" s="1" t="s">
        <v>33</v>
      </c>
      <c r="J58" s="1">
        <v>5</v>
      </c>
      <c r="K58" s="1">
        <v>6</v>
      </c>
      <c r="L58" s="1">
        <v>56</v>
      </c>
      <c r="M58" s="1">
        <v>7</v>
      </c>
      <c r="N58" s="1">
        <v>166.70159679999699</v>
      </c>
      <c r="O58" s="1"/>
      <c r="P58" s="1">
        <v>166.69101259999999</v>
      </c>
      <c r="Q58" s="1">
        <v>166.70159679999699</v>
      </c>
      <c r="R58" s="1">
        <v>167.684895899998</v>
      </c>
      <c r="S58" s="1">
        <v>167.684895899998</v>
      </c>
      <c r="T58" s="1">
        <v>167.70164399999999</v>
      </c>
      <c r="U58" s="1">
        <v>169.05198279999601</v>
      </c>
      <c r="V58" s="1" t="s">
        <v>32</v>
      </c>
      <c r="W58" s="1">
        <v>1.36153479999484</v>
      </c>
      <c r="X58" s="1" t="s">
        <v>33</v>
      </c>
      <c r="Y58" s="1" t="s">
        <v>34</v>
      </c>
      <c r="Z58" s="1">
        <v>1</v>
      </c>
      <c r="AA58" s="1" t="s">
        <v>35</v>
      </c>
      <c r="AB58" s="1" t="s">
        <v>36</v>
      </c>
      <c r="AC58" s="1"/>
      <c r="AD58" s="1" t="s">
        <v>37</v>
      </c>
      <c r="AE58" s="1">
        <v>60.023216980676203</v>
      </c>
      <c r="AF58" s="1" t="s">
        <v>38</v>
      </c>
    </row>
    <row r="59" spans="1:32" x14ac:dyDescent="0.35">
      <c r="A59" s="1">
        <v>49</v>
      </c>
      <c r="B59" s="1">
        <v>60</v>
      </c>
      <c r="C59" s="1">
        <v>89</v>
      </c>
      <c r="D59" s="1">
        <v>57</v>
      </c>
      <c r="E59" s="1">
        <v>7</v>
      </c>
      <c r="F59" s="1">
        <v>5</v>
      </c>
      <c r="G59" s="1" t="s">
        <v>32</v>
      </c>
      <c r="H59" s="1">
        <v>1.2681269000022399</v>
      </c>
      <c r="I59" s="1" t="s">
        <v>33</v>
      </c>
      <c r="J59" s="1">
        <v>5</v>
      </c>
      <c r="K59" s="1">
        <v>7</v>
      </c>
      <c r="L59" s="1">
        <v>57</v>
      </c>
      <c r="M59" s="1">
        <v>4</v>
      </c>
      <c r="N59" s="1">
        <v>169.06778150000099</v>
      </c>
      <c r="O59" s="1"/>
      <c r="P59" s="1">
        <v>169.05827639999899</v>
      </c>
      <c r="Q59" s="1">
        <v>169.06778150000099</v>
      </c>
      <c r="R59" s="1">
        <v>170.05179910000101</v>
      </c>
      <c r="S59" s="1">
        <v>170.05179910000101</v>
      </c>
      <c r="T59" s="1">
        <v>170.068135199995</v>
      </c>
      <c r="U59" s="1">
        <v>171.335000499995</v>
      </c>
      <c r="V59" s="1" t="s">
        <v>32</v>
      </c>
      <c r="W59" s="1">
        <v>1.2681269000022399</v>
      </c>
      <c r="X59" s="1" t="s">
        <v>33</v>
      </c>
      <c r="Y59" s="1" t="s">
        <v>34</v>
      </c>
      <c r="Z59" s="1">
        <v>1</v>
      </c>
      <c r="AA59" s="1" t="s">
        <v>35</v>
      </c>
      <c r="AB59" s="1" t="s">
        <v>36</v>
      </c>
      <c r="AC59" s="1"/>
      <c r="AD59" s="1" t="s">
        <v>37</v>
      </c>
      <c r="AE59" s="1">
        <v>60.023216980676203</v>
      </c>
      <c r="AF59" s="1" t="s">
        <v>38</v>
      </c>
    </row>
    <row r="60" spans="1:32" x14ac:dyDescent="0.35">
      <c r="A60" s="1">
        <v>67</v>
      </c>
      <c r="B60" s="1">
        <v>75</v>
      </c>
      <c r="C60" s="1">
        <v>119</v>
      </c>
      <c r="D60" s="1">
        <v>58</v>
      </c>
      <c r="E60" s="1">
        <v>8</v>
      </c>
      <c r="F60" s="1">
        <v>5</v>
      </c>
      <c r="G60" s="1" t="s">
        <v>32</v>
      </c>
      <c r="H60" s="1">
        <v>1.0533385000016999</v>
      </c>
      <c r="I60" s="1" t="s">
        <v>33</v>
      </c>
      <c r="J60" s="1">
        <v>5</v>
      </c>
      <c r="K60" s="1">
        <v>8</v>
      </c>
      <c r="L60" s="1">
        <v>58</v>
      </c>
      <c r="M60" s="1">
        <v>5</v>
      </c>
      <c r="N60" s="1">
        <v>171.35090209999899</v>
      </c>
      <c r="O60" s="1"/>
      <c r="P60" s="1">
        <v>171.34116989999799</v>
      </c>
      <c r="Q60" s="1">
        <v>171.35090209999899</v>
      </c>
      <c r="R60" s="1">
        <v>172.350759499997</v>
      </c>
      <c r="S60" s="1">
        <v>172.350759499997</v>
      </c>
      <c r="T60" s="1">
        <v>172.350759499997</v>
      </c>
      <c r="U60" s="1">
        <v>173.41782750000101</v>
      </c>
      <c r="V60" s="1" t="s">
        <v>32</v>
      </c>
      <c r="W60" s="1">
        <v>1.0533385000016999</v>
      </c>
      <c r="X60" s="1" t="s">
        <v>33</v>
      </c>
      <c r="Y60" s="1" t="s">
        <v>34</v>
      </c>
      <c r="Z60" s="1">
        <v>1</v>
      </c>
      <c r="AA60" s="1" t="s">
        <v>35</v>
      </c>
      <c r="AB60" s="1" t="s">
        <v>36</v>
      </c>
      <c r="AC60" s="1"/>
      <c r="AD60" s="1" t="s">
        <v>37</v>
      </c>
      <c r="AE60" s="1">
        <v>60.023216980676203</v>
      </c>
      <c r="AF60" s="1" t="s">
        <v>38</v>
      </c>
    </row>
    <row r="61" spans="1:32" x14ac:dyDescent="0.35">
      <c r="A61" s="1">
        <v>15</v>
      </c>
      <c r="B61" s="1">
        <v>35</v>
      </c>
      <c r="C61" s="1">
        <v>13</v>
      </c>
      <c r="D61" s="1">
        <v>59</v>
      </c>
      <c r="E61" s="1">
        <v>9</v>
      </c>
      <c r="F61" s="1">
        <v>5</v>
      </c>
      <c r="G61" s="1" t="s">
        <v>39</v>
      </c>
      <c r="H61" s="1">
        <v>1.2251153000033801</v>
      </c>
      <c r="I61" s="1" t="s">
        <v>33</v>
      </c>
      <c r="J61" s="1">
        <v>5</v>
      </c>
      <c r="K61" s="1">
        <v>9</v>
      </c>
      <c r="L61" s="1">
        <v>59</v>
      </c>
      <c r="M61" s="1">
        <v>1</v>
      </c>
      <c r="N61" s="1">
        <v>173.43384479999801</v>
      </c>
      <c r="O61" s="1"/>
      <c r="P61" s="1">
        <v>173.42398700000101</v>
      </c>
      <c r="Q61" s="1">
        <v>173.43384479999801</v>
      </c>
      <c r="R61" s="1">
        <v>174.41709159999999</v>
      </c>
      <c r="S61" s="1">
        <v>174.41709159999999</v>
      </c>
      <c r="T61" s="1">
        <v>174.433883899997</v>
      </c>
      <c r="U61" s="1">
        <v>175.65094010000001</v>
      </c>
      <c r="V61" s="1" t="s">
        <v>39</v>
      </c>
      <c r="W61" s="1">
        <v>1.2251153000033801</v>
      </c>
      <c r="X61" s="1" t="s">
        <v>33</v>
      </c>
      <c r="Y61" s="1" t="s">
        <v>34</v>
      </c>
      <c r="Z61" s="1">
        <v>1</v>
      </c>
      <c r="AA61" s="1" t="s">
        <v>35</v>
      </c>
      <c r="AB61" s="1" t="s">
        <v>36</v>
      </c>
      <c r="AC61" s="1"/>
      <c r="AD61" s="1" t="s">
        <v>37</v>
      </c>
      <c r="AE61" s="1">
        <v>60.023216980676203</v>
      </c>
      <c r="AF61" s="1" t="s">
        <v>38</v>
      </c>
    </row>
    <row r="62" spans="1:32" x14ac:dyDescent="0.35">
      <c r="A62" s="1">
        <v>49</v>
      </c>
      <c r="B62" s="1">
        <v>60</v>
      </c>
      <c r="C62" s="1">
        <v>89</v>
      </c>
      <c r="D62" s="1">
        <v>60</v>
      </c>
      <c r="E62" s="1">
        <v>0</v>
      </c>
      <c r="F62" s="1">
        <v>6</v>
      </c>
      <c r="G62" s="1" t="s">
        <v>32</v>
      </c>
      <c r="H62" s="1">
        <v>2.6351370999982402</v>
      </c>
      <c r="I62" s="1" t="s">
        <v>33</v>
      </c>
      <c r="J62" s="1">
        <v>6</v>
      </c>
      <c r="K62" s="1">
        <v>0</v>
      </c>
      <c r="L62" s="1">
        <v>60</v>
      </c>
      <c r="M62" s="1">
        <v>4</v>
      </c>
      <c r="N62" s="1">
        <v>175.66688299999799</v>
      </c>
      <c r="O62" s="1"/>
      <c r="P62" s="1">
        <v>175.65745359999701</v>
      </c>
      <c r="Q62" s="1">
        <v>175.66688299999799</v>
      </c>
      <c r="R62" s="1">
        <v>176.66657609999601</v>
      </c>
      <c r="S62" s="1">
        <v>176.66657609999601</v>
      </c>
      <c r="T62" s="1">
        <v>176.66657609999601</v>
      </c>
      <c r="U62" s="1">
        <v>179.31737869999699</v>
      </c>
      <c r="V62" s="1" t="s">
        <v>32</v>
      </c>
      <c r="W62" s="1">
        <v>2.6351370999982402</v>
      </c>
      <c r="X62" s="1" t="s">
        <v>33</v>
      </c>
      <c r="Y62" s="1" t="s">
        <v>34</v>
      </c>
      <c r="Z62" s="1">
        <v>1</v>
      </c>
      <c r="AA62" s="1" t="s">
        <v>35</v>
      </c>
      <c r="AB62" s="1" t="s">
        <v>36</v>
      </c>
      <c r="AC62" s="1"/>
      <c r="AD62" s="1" t="s">
        <v>37</v>
      </c>
      <c r="AE62" s="1">
        <v>60.023216980676203</v>
      </c>
      <c r="AF62" s="1" t="s">
        <v>38</v>
      </c>
    </row>
    <row r="63" spans="1:32" x14ac:dyDescent="0.35">
      <c r="A63" s="1">
        <v>40</v>
      </c>
      <c r="B63" s="1">
        <v>55</v>
      </c>
      <c r="C63" s="1">
        <v>62</v>
      </c>
      <c r="D63" s="1">
        <v>61</v>
      </c>
      <c r="E63" s="1">
        <v>1</v>
      </c>
      <c r="F63" s="1">
        <v>6</v>
      </c>
      <c r="G63" s="1" t="s">
        <v>32</v>
      </c>
      <c r="H63" s="1">
        <v>1.1160243999984201</v>
      </c>
      <c r="I63" s="1" t="s">
        <v>33</v>
      </c>
      <c r="J63" s="1">
        <v>6</v>
      </c>
      <c r="K63" s="1">
        <v>1</v>
      </c>
      <c r="L63" s="1">
        <v>61</v>
      </c>
      <c r="M63" s="1">
        <v>3</v>
      </c>
      <c r="N63" s="1">
        <v>179.33288139999701</v>
      </c>
      <c r="O63" s="1"/>
      <c r="P63" s="1">
        <v>179.32588340000001</v>
      </c>
      <c r="Q63" s="1">
        <v>179.33288139999701</v>
      </c>
      <c r="R63" s="1">
        <v>180.33274309999899</v>
      </c>
      <c r="S63" s="1">
        <v>180.33274309999899</v>
      </c>
      <c r="T63" s="1">
        <v>180.33274309999899</v>
      </c>
      <c r="U63" s="1">
        <v>181.449835400002</v>
      </c>
      <c r="V63" s="1" t="s">
        <v>32</v>
      </c>
      <c r="W63" s="1">
        <v>1.1160243999984201</v>
      </c>
      <c r="X63" s="1" t="s">
        <v>33</v>
      </c>
      <c r="Y63" s="1" t="s">
        <v>34</v>
      </c>
      <c r="Z63" s="1">
        <v>1</v>
      </c>
      <c r="AA63" s="1" t="s">
        <v>35</v>
      </c>
      <c r="AB63" s="1" t="s">
        <v>36</v>
      </c>
      <c r="AC63" s="1"/>
      <c r="AD63" s="1" t="s">
        <v>37</v>
      </c>
      <c r="AE63" s="1">
        <v>60.023216980676203</v>
      </c>
      <c r="AF63" s="1" t="s">
        <v>38</v>
      </c>
    </row>
    <row r="64" spans="1:32" x14ac:dyDescent="0.35">
      <c r="A64" s="1">
        <v>67</v>
      </c>
      <c r="B64" s="1">
        <v>75</v>
      </c>
      <c r="C64" s="1">
        <v>119</v>
      </c>
      <c r="D64" s="1">
        <v>62</v>
      </c>
      <c r="E64" s="1">
        <v>2</v>
      </c>
      <c r="F64" s="1">
        <v>6</v>
      </c>
      <c r="G64" s="1" t="s">
        <v>32</v>
      </c>
      <c r="H64" s="1">
        <v>3.6562078999995702</v>
      </c>
      <c r="I64" s="1" t="s">
        <v>33</v>
      </c>
      <c r="J64" s="1">
        <v>6</v>
      </c>
      <c r="K64" s="1">
        <v>2</v>
      </c>
      <c r="L64" s="1">
        <v>62</v>
      </c>
      <c r="M64" s="1">
        <v>5</v>
      </c>
      <c r="N64" s="1">
        <v>181.4659169</v>
      </c>
      <c r="O64" s="1"/>
      <c r="P64" s="1">
        <v>181.45623869999599</v>
      </c>
      <c r="Q64" s="1">
        <v>181.4659169</v>
      </c>
      <c r="R64" s="1">
        <v>182.449069399997</v>
      </c>
      <c r="S64" s="1">
        <v>182.449069399997</v>
      </c>
      <c r="T64" s="1">
        <v>182.46575819999899</v>
      </c>
      <c r="U64" s="1">
        <v>186.1164785</v>
      </c>
      <c r="V64" s="1" t="s">
        <v>32</v>
      </c>
      <c r="W64" s="1">
        <v>3.6562078999995702</v>
      </c>
      <c r="X64" s="1" t="s">
        <v>33</v>
      </c>
      <c r="Y64" s="1" t="s">
        <v>34</v>
      </c>
      <c r="Z64" s="1">
        <v>1</v>
      </c>
      <c r="AA64" s="1" t="s">
        <v>35</v>
      </c>
      <c r="AB64" s="1" t="s">
        <v>36</v>
      </c>
      <c r="AC64" s="1"/>
      <c r="AD64" s="1" t="s">
        <v>37</v>
      </c>
      <c r="AE64" s="1">
        <v>60.023216980676203</v>
      </c>
      <c r="AF64" s="1" t="s">
        <v>38</v>
      </c>
    </row>
    <row r="65" spans="1:32" x14ac:dyDescent="0.35">
      <c r="A65" s="1">
        <v>27</v>
      </c>
      <c r="B65" s="1">
        <v>50</v>
      </c>
      <c r="C65" s="1">
        <v>21</v>
      </c>
      <c r="D65" s="1">
        <v>63</v>
      </c>
      <c r="E65" s="1">
        <v>3</v>
      </c>
      <c r="F65" s="1">
        <v>6</v>
      </c>
      <c r="G65" s="1" t="s">
        <v>32</v>
      </c>
      <c r="H65" s="1">
        <v>1.20008800000505</v>
      </c>
      <c r="I65" s="1" t="s">
        <v>33</v>
      </c>
      <c r="J65" s="1">
        <v>6</v>
      </c>
      <c r="K65" s="1">
        <v>3</v>
      </c>
      <c r="L65" s="1">
        <v>63</v>
      </c>
      <c r="M65" s="1">
        <v>2</v>
      </c>
      <c r="N65" s="1">
        <v>186.13160909999701</v>
      </c>
      <c r="O65" s="1"/>
      <c r="P65" s="1">
        <v>186.122943199996</v>
      </c>
      <c r="Q65" s="1">
        <v>186.13160909999701</v>
      </c>
      <c r="R65" s="1">
        <v>187.132064299999</v>
      </c>
      <c r="S65" s="1">
        <v>187.132064299999</v>
      </c>
      <c r="T65" s="1">
        <v>187.132064299999</v>
      </c>
      <c r="U65" s="1">
        <v>188.34866599999799</v>
      </c>
      <c r="V65" s="1" t="s">
        <v>32</v>
      </c>
      <c r="W65" s="1">
        <v>1.20008800000505</v>
      </c>
      <c r="X65" s="1" t="s">
        <v>33</v>
      </c>
      <c r="Y65" s="1" t="s">
        <v>34</v>
      </c>
      <c r="Z65" s="1">
        <v>1</v>
      </c>
      <c r="AA65" s="1" t="s">
        <v>35</v>
      </c>
      <c r="AB65" s="1" t="s">
        <v>36</v>
      </c>
      <c r="AC65" s="1"/>
      <c r="AD65" s="1" t="s">
        <v>37</v>
      </c>
      <c r="AE65" s="1">
        <v>60.023216980676203</v>
      </c>
      <c r="AF65" s="1" t="s">
        <v>38</v>
      </c>
    </row>
    <row r="66" spans="1:32" x14ac:dyDescent="0.35">
      <c r="A66" s="1">
        <v>15</v>
      </c>
      <c r="B66" s="1">
        <v>35</v>
      </c>
      <c r="C66" s="1">
        <v>13</v>
      </c>
      <c r="D66" s="1">
        <v>64</v>
      </c>
      <c r="E66" s="1">
        <v>4</v>
      </c>
      <c r="F66" s="1">
        <v>6</v>
      </c>
      <c r="G66" s="1" t="s">
        <v>39</v>
      </c>
      <c r="H66" s="1">
        <v>0.91176029999769503</v>
      </c>
      <c r="I66" s="1" t="s">
        <v>33</v>
      </c>
      <c r="J66" s="1">
        <v>6</v>
      </c>
      <c r="K66" s="1">
        <v>4</v>
      </c>
      <c r="L66" s="1">
        <v>64</v>
      </c>
      <c r="M66" s="1">
        <v>1</v>
      </c>
      <c r="N66" s="1">
        <v>188.38142639999501</v>
      </c>
      <c r="O66" s="1"/>
      <c r="P66" s="1">
        <v>188.35914279999901</v>
      </c>
      <c r="Q66" s="1">
        <v>188.38142639999501</v>
      </c>
      <c r="R66" s="1">
        <v>189.348194899997</v>
      </c>
      <c r="S66" s="1">
        <v>189.348194899997</v>
      </c>
      <c r="T66" s="1">
        <v>189.381168399995</v>
      </c>
      <c r="U66" s="1">
        <v>190.264978599996</v>
      </c>
      <c r="V66" s="1" t="s">
        <v>39</v>
      </c>
      <c r="W66" s="1">
        <v>0.91176029999769503</v>
      </c>
      <c r="X66" s="1" t="s">
        <v>33</v>
      </c>
      <c r="Y66" s="1" t="s">
        <v>34</v>
      </c>
      <c r="Z66" s="1">
        <v>1</v>
      </c>
      <c r="AA66" s="1" t="s">
        <v>35</v>
      </c>
      <c r="AB66" s="1" t="s">
        <v>36</v>
      </c>
      <c r="AC66" s="1"/>
      <c r="AD66" s="1" t="s">
        <v>37</v>
      </c>
      <c r="AE66" s="1">
        <v>60.023216980676203</v>
      </c>
      <c r="AF66" s="1" t="s">
        <v>38</v>
      </c>
    </row>
    <row r="67" spans="1:32" x14ac:dyDescent="0.35">
      <c r="A67" s="1">
        <v>110</v>
      </c>
      <c r="B67" s="1">
        <v>135</v>
      </c>
      <c r="C67" s="1">
        <v>270</v>
      </c>
      <c r="D67" s="1">
        <v>65</v>
      </c>
      <c r="E67" s="1">
        <v>5</v>
      </c>
      <c r="F67" s="1">
        <v>6</v>
      </c>
      <c r="G67" s="1" t="s">
        <v>32</v>
      </c>
      <c r="H67" s="1">
        <v>0.557736900002055</v>
      </c>
      <c r="I67" s="1" t="s">
        <v>33</v>
      </c>
      <c r="J67" s="1">
        <v>6</v>
      </c>
      <c r="K67" s="1">
        <v>5</v>
      </c>
      <c r="L67" s="1">
        <v>65</v>
      </c>
      <c r="M67" s="1">
        <v>9</v>
      </c>
      <c r="N67" s="1">
        <v>190.281016299995</v>
      </c>
      <c r="O67" s="1"/>
      <c r="P67" s="1">
        <v>190.27225689999599</v>
      </c>
      <c r="Q67" s="1">
        <v>190.281016299995</v>
      </c>
      <c r="R67" s="1">
        <v>191.264600599999</v>
      </c>
      <c r="S67" s="1">
        <v>191.264600599999</v>
      </c>
      <c r="T67" s="1">
        <v>191.28088410000001</v>
      </c>
      <c r="U67" s="1">
        <v>191.83179430000001</v>
      </c>
      <c r="V67" s="1" t="s">
        <v>32</v>
      </c>
      <c r="W67" s="1">
        <v>0.557736900002055</v>
      </c>
      <c r="X67" s="1" t="s">
        <v>33</v>
      </c>
      <c r="Y67" s="1" t="s">
        <v>34</v>
      </c>
      <c r="Z67" s="1">
        <v>1</v>
      </c>
      <c r="AA67" s="1" t="s">
        <v>35</v>
      </c>
      <c r="AB67" s="1" t="s">
        <v>36</v>
      </c>
      <c r="AC67" s="1"/>
      <c r="AD67" s="1" t="s">
        <v>37</v>
      </c>
      <c r="AE67" s="1">
        <v>60.023216980676203</v>
      </c>
      <c r="AF67" s="1" t="s">
        <v>38</v>
      </c>
    </row>
    <row r="68" spans="1:32" x14ac:dyDescent="0.35">
      <c r="A68" s="1">
        <v>78</v>
      </c>
      <c r="B68" s="1">
        <v>80</v>
      </c>
      <c r="C68" s="1">
        <v>162</v>
      </c>
      <c r="D68" s="1">
        <v>66</v>
      </c>
      <c r="E68" s="1">
        <v>6</v>
      </c>
      <c r="F68" s="1">
        <v>6</v>
      </c>
      <c r="G68" s="1" t="s">
        <v>32</v>
      </c>
      <c r="H68" s="1">
        <v>0.49711959999694899</v>
      </c>
      <c r="I68" s="1" t="s">
        <v>33</v>
      </c>
      <c r="J68" s="1">
        <v>6</v>
      </c>
      <c r="K68" s="1">
        <v>6</v>
      </c>
      <c r="L68" s="1">
        <v>66</v>
      </c>
      <c r="M68" s="1">
        <v>6</v>
      </c>
      <c r="N68" s="1">
        <v>191.847437600001</v>
      </c>
      <c r="O68" s="1"/>
      <c r="P68" s="1">
        <v>191.83955749999501</v>
      </c>
      <c r="Q68" s="1">
        <v>191.847437600001</v>
      </c>
      <c r="R68" s="1">
        <v>192.847342599998</v>
      </c>
      <c r="S68" s="1">
        <v>192.847342599998</v>
      </c>
      <c r="T68" s="1">
        <v>192.847342599998</v>
      </c>
      <c r="U68" s="1">
        <v>193.348693300002</v>
      </c>
      <c r="V68" s="1" t="s">
        <v>32</v>
      </c>
      <c r="W68" s="1">
        <v>0.49711959999694899</v>
      </c>
      <c r="X68" s="1" t="s">
        <v>33</v>
      </c>
      <c r="Y68" s="1" t="s">
        <v>34</v>
      </c>
      <c r="Z68" s="1">
        <v>1</v>
      </c>
      <c r="AA68" s="1" t="s">
        <v>35</v>
      </c>
      <c r="AB68" s="1" t="s">
        <v>36</v>
      </c>
      <c r="AC68" s="1"/>
      <c r="AD68" s="1" t="s">
        <v>37</v>
      </c>
      <c r="AE68" s="1">
        <v>60.023216980676203</v>
      </c>
      <c r="AF68" s="1" t="s">
        <v>38</v>
      </c>
    </row>
    <row r="69" spans="1:32" x14ac:dyDescent="0.35">
      <c r="A69" s="1">
        <v>98</v>
      </c>
      <c r="B69" s="1">
        <v>120</v>
      </c>
      <c r="C69" s="1">
        <v>230</v>
      </c>
      <c r="D69" s="1">
        <v>67</v>
      </c>
      <c r="E69" s="1">
        <v>7</v>
      </c>
      <c r="F69" s="1">
        <v>6</v>
      </c>
      <c r="G69" s="1" t="s">
        <v>32</v>
      </c>
      <c r="H69" s="1">
        <v>0.71792050000658403</v>
      </c>
      <c r="I69" s="1" t="s">
        <v>33</v>
      </c>
      <c r="J69" s="1">
        <v>6</v>
      </c>
      <c r="K69" s="1">
        <v>7</v>
      </c>
      <c r="L69" s="1">
        <v>67</v>
      </c>
      <c r="M69" s="1">
        <v>8</v>
      </c>
      <c r="N69" s="1">
        <v>193.38094660000201</v>
      </c>
      <c r="O69" s="1"/>
      <c r="P69" s="1">
        <v>193.35753259999899</v>
      </c>
      <c r="Q69" s="1">
        <v>193.38094660000201</v>
      </c>
      <c r="R69" s="1">
        <v>194.363717499996</v>
      </c>
      <c r="S69" s="1">
        <v>194.363717499996</v>
      </c>
      <c r="T69" s="1">
        <v>194.38040819999799</v>
      </c>
      <c r="U69" s="1">
        <v>195.09841669999801</v>
      </c>
      <c r="V69" s="1" t="s">
        <v>32</v>
      </c>
      <c r="W69" s="1">
        <v>0.71792050000658403</v>
      </c>
      <c r="X69" s="1" t="s">
        <v>33</v>
      </c>
      <c r="Y69" s="1" t="s">
        <v>34</v>
      </c>
      <c r="Z69" s="1">
        <v>1</v>
      </c>
      <c r="AA69" s="1" t="s">
        <v>35</v>
      </c>
      <c r="AB69" s="1" t="s">
        <v>36</v>
      </c>
      <c r="AC69" s="1"/>
      <c r="AD69" s="1" t="s">
        <v>37</v>
      </c>
      <c r="AE69" s="1">
        <v>60.023216980676203</v>
      </c>
      <c r="AF69" s="1" t="s">
        <v>38</v>
      </c>
    </row>
    <row r="70" spans="1:32" x14ac:dyDescent="0.35">
      <c r="A70" s="1">
        <v>88</v>
      </c>
      <c r="B70" s="1">
        <v>105</v>
      </c>
      <c r="C70" s="1">
        <v>200</v>
      </c>
      <c r="D70" s="1">
        <v>68</v>
      </c>
      <c r="E70" s="1">
        <v>8</v>
      </c>
      <c r="F70" s="1">
        <v>6</v>
      </c>
      <c r="G70" s="1" t="s">
        <v>32</v>
      </c>
      <c r="H70" s="1">
        <v>0.710831500000495</v>
      </c>
      <c r="I70" s="1" t="s">
        <v>33</v>
      </c>
      <c r="J70" s="1">
        <v>6</v>
      </c>
      <c r="K70" s="1">
        <v>8</v>
      </c>
      <c r="L70" s="1">
        <v>68</v>
      </c>
      <c r="M70" s="1">
        <v>7</v>
      </c>
      <c r="N70" s="1">
        <v>195.11350710000201</v>
      </c>
      <c r="O70" s="1"/>
      <c r="P70" s="1">
        <v>195.104644799997</v>
      </c>
      <c r="Q70" s="1">
        <v>195.11350710000201</v>
      </c>
      <c r="R70" s="1">
        <v>196.11397949999801</v>
      </c>
      <c r="S70" s="1">
        <v>196.11397949999801</v>
      </c>
      <c r="T70" s="1">
        <v>196.11397949999801</v>
      </c>
      <c r="U70" s="1">
        <v>196.83067829999999</v>
      </c>
      <c r="V70" s="1" t="s">
        <v>32</v>
      </c>
      <c r="W70" s="1">
        <v>0.710831500000495</v>
      </c>
      <c r="X70" s="1" t="s">
        <v>33</v>
      </c>
      <c r="Y70" s="1" t="s">
        <v>34</v>
      </c>
      <c r="Z70" s="1">
        <v>1</v>
      </c>
      <c r="AA70" s="1" t="s">
        <v>35</v>
      </c>
      <c r="AB70" s="1" t="s">
        <v>36</v>
      </c>
      <c r="AC70" s="1"/>
      <c r="AD70" s="1" t="s">
        <v>37</v>
      </c>
      <c r="AE70" s="1">
        <v>60.023216980676203</v>
      </c>
      <c r="AF70" s="1" t="s">
        <v>38</v>
      </c>
    </row>
    <row r="71" spans="1:32" x14ac:dyDescent="0.35">
      <c r="A71" s="1">
        <v>11</v>
      </c>
      <c r="B71" s="1">
        <v>30</v>
      </c>
      <c r="C71" s="1">
        <v>7</v>
      </c>
      <c r="D71" s="1">
        <v>69</v>
      </c>
      <c r="E71" s="1">
        <v>9</v>
      </c>
      <c r="F71" s="1">
        <v>6</v>
      </c>
      <c r="G71" s="1" t="s">
        <v>39</v>
      </c>
      <c r="H71" s="1">
        <v>0.77322519999870498</v>
      </c>
      <c r="I71" s="1" t="s">
        <v>33</v>
      </c>
      <c r="J71" s="1">
        <v>6</v>
      </c>
      <c r="K71" s="1">
        <v>9</v>
      </c>
      <c r="L71" s="1">
        <v>69</v>
      </c>
      <c r="M71" s="1">
        <v>0</v>
      </c>
      <c r="N71" s="1">
        <v>196.84653429999801</v>
      </c>
      <c r="O71" s="1"/>
      <c r="P71" s="1">
        <v>196.836895699998</v>
      </c>
      <c r="Q71" s="1">
        <v>196.84653429999801</v>
      </c>
      <c r="R71" s="1">
        <v>197.82986729999499</v>
      </c>
      <c r="S71" s="1">
        <v>197.82986729999499</v>
      </c>
      <c r="T71" s="1">
        <v>197.84638879999599</v>
      </c>
      <c r="U71" s="1">
        <v>198.61369059999501</v>
      </c>
      <c r="V71" s="1" t="s">
        <v>39</v>
      </c>
      <c r="W71" s="1">
        <v>0.77322519999870498</v>
      </c>
      <c r="X71" s="1" t="s">
        <v>33</v>
      </c>
      <c r="Y71" s="1" t="s">
        <v>34</v>
      </c>
      <c r="Z71" s="1">
        <v>1</v>
      </c>
      <c r="AA71" s="1" t="s">
        <v>35</v>
      </c>
      <c r="AB71" s="1" t="s">
        <v>36</v>
      </c>
      <c r="AC71" s="1"/>
      <c r="AD71" s="1" t="s">
        <v>37</v>
      </c>
      <c r="AE71" s="1">
        <v>60.023216980676203</v>
      </c>
      <c r="AF71" s="1" t="s">
        <v>38</v>
      </c>
    </row>
    <row r="72" spans="1:32" x14ac:dyDescent="0.35">
      <c r="A72" s="1">
        <v>88</v>
      </c>
      <c r="B72" s="1">
        <v>105</v>
      </c>
      <c r="C72" s="1">
        <v>200</v>
      </c>
      <c r="D72" s="1">
        <v>70</v>
      </c>
      <c r="E72" s="1">
        <v>0</v>
      </c>
      <c r="F72" s="1">
        <v>7</v>
      </c>
      <c r="G72" s="1" t="s">
        <v>32</v>
      </c>
      <c r="H72" s="1">
        <v>0.76045829999929904</v>
      </c>
      <c r="I72" s="1" t="s">
        <v>33</v>
      </c>
      <c r="J72" s="1">
        <v>7</v>
      </c>
      <c r="K72" s="1">
        <v>0</v>
      </c>
      <c r="L72" s="1">
        <v>70</v>
      </c>
      <c r="M72" s="1">
        <v>7</v>
      </c>
      <c r="N72" s="1">
        <v>198.64669409999601</v>
      </c>
      <c r="O72" s="1"/>
      <c r="P72" s="1">
        <v>198.62267489999701</v>
      </c>
      <c r="Q72" s="1">
        <v>198.64669409999601</v>
      </c>
      <c r="R72" s="1">
        <v>199.612956199998</v>
      </c>
      <c r="S72" s="1">
        <v>199.612956199998</v>
      </c>
      <c r="T72" s="1">
        <v>199.646278300002</v>
      </c>
      <c r="U72" s="1">
        <v>200.38010480000199</v>
      </c>
      <c r="V72" s="1" t="s">
        <v>32</v>
      </c>
      <c r="W72" s="1">
        <v>0.76045829999929904</v>
      </c>
      <c r="X72" s="1" t="s">
        <v>33</v>
      </c>
      <c r="Y72" s="1" t="s">
        <v>34</v>
      </c>
      <c r="Z72" s="1">
        <v>1</v>
      </c>
      <c r="AA72" s="1" t="s">
        <v>35</v>
      </c>
      <c r="AB72" s="1" t="s">
        <v>36</v>
      </c>
      <c r="AC72" s="1"/>
      <c r="AD72" s="1" t="s">
        <v>37</v>
      </c>
      <c r="AE72" s="1">
        <v>60.023216980676203</v>
      </c>
      <c r="AF72" s="1" t="s">
        <v>38</v>
      </c>
    </row>
    <row r="73" spans="1:32" x14ac:dyDescent="0.35">
      <c r="A73" s="1">
        <v>67</v>
      </c>
      <c r="B73" s="1">
        <v>75</v>
      </c>
      <c r="C73" s="1">
        <v>119</v>
      </c>
      <c r="D73" s="1">
        <v>71</v>
      </c>
      <c r="E73" s="1">
        <v>1</v>
      </c>
      <c r="F73" s="1">
        <v>7</v>
      </c>
      <c r="G73" s="1" t="s">
        <v>32</v>
      </c>
      <c r="H73" s="1">
        <v>0.473952599997574</v>
      </c>
      <c r="I73" s="1" t="s">
        <v>33</v>
      </c>
      <c r="J73" s="1">
        <v>7</v>
      </c>
      <c r="K73" s="1">
        <v>1</v>
      </c>
      <c r="L73" s="1">
        <v>71</v>
      </c>
      <c r="M73" s="1">
        <v>5</v>
      </c>
      <c r="N73" s="1">
        <v>200.39646250000001</v>
      </c>
      <c r="O73" s="1"/>
      <c r="P73" s="1">
        <v>200.38654310000101</v>
      </c>
      <c r="Q73" s="1">
        <v>200.39646250000001</v>
      </c>
      <c r="R73" s="1">
        <v>201.379297499996</v>
      </c>
      <c r="S73" s="1">
        <v>201.379297499996</v>
      </c>
      <c r="T73" s="1">
        <v>201.39595530000199</v>
      </c>
      <c r="U73" s="1">
        <v>201.86334119999799</v>
      </c>
      <c r="V73" s="1" t="s">
        <v>32</v>
      </c>
      <c r="W73" s="1">
        <v>0.473952599997574</v>
      </c>
      <c r="X73" s="1" t="s">
        <v>33</v>
      </c>
      <c r="Y73" s="1" t="s">
        <v>34</v>
      </c>
      <c r="Z73" s="1">
        <v>1</v>
      </c>
      <c r="AA73" s="1" t="s">
        <v>35</v>
      </c>
      <c r="AB73" s="1" t="s">
        <v>36</v>
      </c>
      <c r="AC73" s="1"/>
      <c r="AD73" s="1" t="s">
        <v>37</v>
      </c>
      <c r="AE73" s="1">
        <v>60.023216980676203</v>
      </c>
      <c r="AF73" s="1" t="s">
        <v>38</v>
      </c>
    </row>
    <row r="74" spans="1:32" x14ac:dyDescent="0.35">
      <c r="A74" s="1">
        <v>15</v>
      </c>
      <c r="B74" s="1">
        <v>35</v>
      </c>
      <c r="C74" s="1">
        <v>13</v>
      </c>
      <c r="D74" s="1">
        <v>72</v>
      </c>
      <c r="E74" s="1">
        <v>2</v>
      </c>
      <c r="F74" s="1">
        <v>7</v>
      </c>
      <c r="G74" s="1" t="s">
        <v>39</v>
      </c>
      <c r="H74" s="1">
        <v>0.57533369999873596</v>
      </c>
      <c r="I74" s="1" t="s">
        <v>33</v>
      </c>
      <c r="J74" s="1">
        <v>7</v>
      </c>
      <c r="K74" s="1">
        <v>2</v>
      </c>
      <c r="L74" s="1">
        <v>72</v>
      </c>
      <c r="M74" s="1">
        <v>1</v>
      </c>
      <c r="N74" s="1">
        <v>201.87900449999799</v>
      </c>
      <c r="O74" s="1"/>
      <c r="P74" s="1">
        <v>201.870651899997</v>
      </c>
      <c r="Q74" s="1">
        <v>201.87900449999799</v>
      </c>
      <c r="R74" s="1">
        <v>202.87899139999999</v>
      </c>
      <c r="S74" s="1">
        <v>202.87899139999999</v>
      </c>
      <c r="T74" s="1">
        <v>202.87899139999999</v>
      </c>
      <c r="U74" s="1">
        <v>203.46288610000099</v>
      </c>
      <c r="V74" s="1" t="s">
        <v>39</v>
      </c>
      <c r="W74" s="1">
        <v>0.57533369999873596</v>
      </c>
      <c r="X74" s="1" t="s">
        <v>33</v>
      </c>
      <c r="Y74" s="1" t="s">
        <v>34</v>
      </c>
      <c r="Z74" s="1">
        <v>1</v>
      </c>
      <c r="AA74" s="1" t="s">
        <v>35</v>
      </c>
      <c r="AB74" s="1" t="s">
        <v>36</v>
      </c>
      <c r="AC74" s="1"/>
      <c r="AD74" s="1" t="s">
        <v>37</v>
      </c>
      <c r="AE74" s="1">
        <v>60.023216980676203</v>
      </c>
      <c r="AF74" s="1" t="s">
        <v>38</v>
      </c>
    </row>
    <row r="75" spans="1:32" x14ac:dyDescent="0.35">
      <c r="A75" s="1">
        <v>98</v>
      </c>
      <c r="B75" s="1">
        <v>120</v>
      </c>
      <c r="C75" s="1">
        <v>230</v>
      </c>
      <c r="D75" s="1">
        <v>73</v>
      </c>
      <c r="E75" s="1">
        <v>3</v>
      </c>
      <c r="F75" s="1">
        <v>7</v>
      </c>
      <c r="G75" s="1" t="s">
        <v>32</v>
      </c>
      <c r="H75" s="1">
        <v>0.49928119999822201</v>
      </c>
      <c r="I75" s="1" t="s">
        <v>33</v>
      </c>
      <c r="J75" s="1">
        <v>7</v>
      </c>
      <c r="K75" s="1">
        <v>3</v>
      </c>
      <c r="L75" s="1">
        <v>73</v>
      </c>
      <c r="M75" s="1">
        <v>8</v>
      </c>
      <c r="N75" s="1">
        <v>203.47890219999601</v>
      </c>
      <c r="O75" s="1"/>
      <c r="P75" s="1">
        <v>203.46880190000201</v>
      </c>
      <c r="Q75" s="1">
        <v>203.47890219999601</v>
      </c>
      <c r="R75" s="1">
        <v>204.4623632</v>
      </c>
      <c r="S75" s="1">
        <v>204.4623632</v>
      </c>
      <c r="T75" s="1">
        <v>204.47877380000099</v>
      </c>
      <c r="U75" s="1">
        <v>204.962868399998</v>
      </c>
      <c r="V75" s="1" t="s">
        <v>32</v>
      </c>
      <c r="W75" s="1">
        <v>0.49928119999822201</v>
      </c>
      <c r="X75" s="1" t="s">
        <v>33</v>
      </c>
      <c r="Y75" s="1" t="s">
        <v>34</v>
      </c>
      <c r="Z75" s="1">
        <v>1</v>
      </c>
      <c r="AA75" s="1" t="s">
        <v>35</v>
      </c>
      <c r="AB75" s="1" t="s">
        <v>36</v>
      </c>
      <c r="AC75" s="1"/>
      <c r="AD75" s="1" t="s">
        <v>37</v>
      </c>
      <c r="AE75" s="1">
        <v>60.023216980676203</v>
      </c>
      <c r="AF75" s="1" t="s">
        <v>38</v>
      </c>
    </row>
    <row r="76" spans="1:32" x14ac:dyDescent="0.35">
      <c r="A76" s="1">
        <v>110</v>
      </c>
      <c r="B76" s="1">
        <v>135</v>
      </c>
      <c r="C76" s="1">
        <v>270</v>
      </c>
      <c r="D76" s="1">
        <v>74</v>
      </c>
      <c r="E76" s="1">
        <v>4</v>
      </c>
      <c r="F76" s="1">
        <v>7</v>
      </c>
      <c r="G76" s="1" t="s">
        <v>32</v>
      </c>
      <c r="H76" s="1">
        <v>0.328610599994135</v>
      </c>
      <c r="I76" s="1" t="s">
        <v>33</v>
      </c>
      <c r="J76" s="1">
        <v>7</v>
      </c>
      <c r="K76" s="1">
        <v>4</v>
      </c>
      <c r="L76" s="1">
        <v>74</v>
      </c>
      <c r="M76" s="1">
        <v>9</v>
      </c>
      <c r="N76" s="1">
        <v>204.995347299998</v>
      </c>
      <c r="O76" s="1"/>
      <c r="P76" s="1">
        <v>204.9718431</v>
      </c>
      <c r="Q76" s="1">
        <v>204.995347299998</v>
      </c>
      <c r="R76" s="1">
        <v>205.978413299999</v>
      </c>
      <c r="S76" s="1">
        <v>205.978413299999</v>
      </c>
      <c r="T76" s="1">
        <v>205.994997100002</v>
      </c>
      <c r="U76" s="1">
        <v>206.312572099996</v>
      </c>
      <c r="V76" s="1" t="s">
        <v>32</v>
      </c>
      <c r="W76" s="1">
        <v>0.328610599994135</v>
      </c>
      <c r="X76" s="1" t="s">
        <v>33</v>
      </c>
      <c r="Y76" s="1" t="s">
        <v>34</v>
      </c>
      <c r="Z76" s="1">
        <v>1</v>
      </c>
      <c r="AA76" s="1" t="s">
        <v>35</v>
      </c>
      <c r="AB76" s="1" t="s">
        <v>36</v>
      </c>
      <c r="AC76" s="1"/>
      <c r="AD76" s="1" t="s">
        <v>37</v>
      </c>
      <c r="AE76" s="1">
        <v>60.023216980676203</v>
      </c>
      <c r="AF76" s="1" t="s">
        <v>38</v>
      </c>
    </row>
    <row r="77" spans="1:32" x14ac:dyDescent="0.35">
      <c r="A77" s="1">
        <v>27</v>
      </c>
      <c r="B77" s="1">
        <v>50</v>
      </c>
      <c r="C77" s="1">
        <v>21</v>
      </c>
      <c r="D77" s="1">
        <v>75</v>
      </c>
      <c r="E77" s="1">
        <v>5</v>
      </c>
      <c r="F77" s="1">
        <v>7</v>
      </c>
      <c r="G77" s="1" t="s">
        <v>32</v>
      </c>
      <c r="H77" s="1">
        <v>0.62229389999993101</v>
      </c>
      <c r="I77" s="1" t="s">
        <v>33</v>
      </c>
      <c r="J77" s="1">
        <v>7</v>
      </c>
      <c r="K77" s="1">
        <v>5</v>
      </c>
      <c r="L77" s="1">
        <v>75</v>
      </c>
      <c r="M77" s="1">
        <v>2</v>
      </c>
      <c r="N77" s="1">
        <v>206.32838639999599</v>
      </c>
      <c r="O77" s="1"/>
      <c r="P77" s="1">
        <v>206.32118049999499</v>
      </c>
      <c r="Q77" s="1">
        <v>206.32838639999599</v>
      </c>
      <c r="R77" s="1">
        <v>207.31171109999499</v>
      </c>
      <c r="S77" s="1">
        <v>207.31171109999499</v>
      </c>
      <c r="T77" s="1">
        <v>207.328362699998</v>
      </c>
      <c r="U77" s="1">
        <v>207.94596139999999</v>
      </c>
      <c r="V77" s="1" t="s">
        <v>32</v>
      </c>
      <c r="W77" s="1">
        <v>0.62229389999993101</v>
      </c>
      <c r="X77" s="1" t="s">
        <v>33</v>
      </c>
      <c r="Y77" s="1" t="s">
        <v>34</v>
      </c>
      <c r="Z77" s="1">
        <v>1</v>
      </c>
      <c r="AA77" s="1" t="s">
        <v>35</v>
      </c>
      <c r="AB77" s="1" t="s">
        <v>36</v>
      </c>
      <c r="AC77" s="1"/>
      <c r="AD77" s="1" t="s">
        <v>37</v>
      </c>
      <c r="AE77" s="1">
        <v>60.023216980676203</v>
      </c>
      <c r="AF77" s="1" t="s">
        <v>38</v>
      </c>
    </row>
    <row r="78" spans="1:32" x14ac:dyDescent="0.35">
      <c r="A78" s="1">
        <v>78</v>
      </c>
      <c r="B78" s="1">
        <v>80</v>
      </c>
      <c r="C78" s="1">
        <v>162</v>
      </c>
      <c r="D78" s="1">
        <v>76</v>
      </c>
      <c r="E78" s="1">
        <v>6</v>
      </c>
      <c r="F78" s="1">
        <v>7</v>
      </c>
      <c r="G78" s="1" t="s">
        <v>32</v>
      </c>
      <c r="H78" s="1">
        <v>0.62326590000157001</v>
      </c>
      <c r="I78" s="1" t="s">
        <v>33</v>
      </c>
      <c r="J78" s="1">
        <v>7</v>
      </c>
      <c r="K78" s="1">
        <v>6</v>
      </c>
      <c r="L78" s="1">
        <v>76</v>
      </c>
      <c r="M78" s="1">
        <v>6</v>
      </c>
      <c r="N78" s="1">
        <v>207.978264799996</v>
      </c>
      <c r="O78" s="1"/>
      <c r="P78" s="1">
        <v>207.95491809999601</v>
      </c>
      <c r="Q78" s="1">
        <v>207.978264799996</v>
      </c>
      <c r="R78" s="1">
        <v>208.96128479999601</v>
      </c>
      <c r="S78" s="1">
        <v>208.96128479999601</v>
      </c>
      <c r="T78" s="1">
        <v>208.978515099996</v>
      </c>
      <c r="U78" s="1">
        <v>209.59537139999799</v>
      </c>
      <c r="V78" s="1" t="s">
        <v>32</v>
      </c>
      <c r="W78" s="1">
        <v>0.62326590000157001</v>
      </c>
      <c r="X78" s="1" t="s">
        <v>33</v>
      </c>
      <c r="Y78" s="1" t="s">
        <v>34</v>
      </c>
      <c r="Z78" s="1">
        <v>1</v>
      </c>
      <c r="AA78" s="1" t="s">
        <v>35</v>
      </c>
      <c r="AB78" s="1" t="s">
        <v>36</v>
      </c>
      <c r="AC78" s="1"/>
      <c r="AD78" s="1" t="s">
        <v>37</v>
      </c>
      <c r="AE78" s="1">
        <v>60.023216980676203</v>
      </c>
      <c r="AF78" s="1" t="s">
        <v>38</v>
      </c>
    </row>
    <row r="79" spans="1:32" x14ac:dyDescent="0.35">
      <c r="A79" s="1">
        <v>40</v>
      </c>
      <c r="B79" s="1">
        <v>55</v>
      </c>
      <c r="C79" s="1">
        <v>62</v>
      </c>
      <c r="D79" s="1">
        <v>77</v>
      </c>
      <c r="E79" s="1">
        <v>7</v>
      </c>
      <c r="F79" s="1">
        <v>7</v>
      </c>
      <c r="G79" s="1" t="s">
        <v>32</v>
      </c>
      <c r="H79" s="1">
        <v>2.48114130000612</v>
      </c>
      <c r="I79" s="1" t="s">
        <v>33</v>
      </c>
      <c r="J79" s="1">
        <v>7</v>
      </c>
      <c r="K79" s="1">
        <v>7</v>
      </c>
      <c r="L79" s="1">
        <v>77</v>
      </c>
      <c r="M79" s="1">
        <v>3</v>
      </c>
      <c r="N79" s="1">
        <v>209.611271100002</v>
      </c>
      <c r="O79" s="1"/>
      <c r="P79" s="1">
        <v>209.60242029999699</v>
      </c>
      <c r="Q79" s="1">
        <v>209.611271100002</v>
      </c>
      <c r="R79" s="1">
        <v>210.61115430000001</v>
      </c>
      <c r="S79" s="1">
        <v>210.61115430000001</v>
      </c>
      <c r="T79" s="1">
        <v>210.61115430000001</v>
      </c>
      <c r="U79" s="1">
        <v>213.09457889999601</v>
      </c>
      <c r="V79" s="1" t="s">
        <v>32</v>
      </c>
      <c r="W79" s="1">
        <v>2.48114130000612</v>
      </c>
      <c r="X79" s="1" t="s">
        <v>33</v>
      </c>
      <c r="Y79" s="1" t="s">
        <v>34</v>
      </c>
      <c r="Z79" s="1">
        <v>1</v>
      </c>
      <c r="AA79" s="1" t="s">
        <v>35</v>
      </c>
      <c r="AB79" s="1" t="s">
        <v>36</v>
      </c>
      <c r="AC79" s="1"/>
      <c r="AD79" s="1" t="s">
        <v>37</v>
      </c>
      <c r="AE79" s="1">
        <v>60.023216980676203</v>
      </c>
      <c r="AF79" s="1" t="s">
        <v>38</v>
      </c>
    </row>
    <row r="80" spans="1:32" x14ac:dyDescent="0.35">
      <c r="A80" s="1">
        <v>11</v>
      </c>
      <c r="B80" s="1">
        <v>30</v>
      </c>
      <c r="C80" s="1">
        <v>7</v>
      </c>
      <c r="D80" s="1">
        <v>78</v>
      </c>
      <c r="E80" s="1">
        <v>8</v>
      </c>
      <c r="F80" s="1">
        <v>7</v>
      </c>
      <c r="G80" s="1" t="s">
        <v>39</v>
      </c>
      <c r="H80" s="1">
        <v>0.96052760000020498</v>
      </c>
      <c r="I80" s="1" t="s">
        <v>33</v>
      </c>
      <c r="J80" s="1">
        <v>7</v>
      </c>
      <c r="K80" s="1">
        <v>8</v>
      </c>
      <c r="L80" s="1">
        <v>78</v>
      </c>
      <c r="M80" s="1">
        <v>0</v>
      </c>
      <c r="N80" s="1">
        <v>213.11053459999599</v>
      </c>
      <c r="O80" s="1"/>
      <c r="P80" s="1">
        <v>213.100266699999</v>
      </c>
      <c r="Q80" s="1">
        <v>213.11053459999599</v>
      </c>
      <c r="R80" s="1">
        <v>214.09478809999499</v>
      </c>
      <c r="S80" s="1">
        <v>214.09478809999499</v>
      </c>
      <c r="T80" s="1">
        <v>214.111240500002</v>
      </c>
      <c r="U80" s="1">
        <v>215.061021399997</v>
      </c>
      <c r="V80" s="1" t="s">
        <v>39</v>
      </c>
      <c r="W80" s="1">
        <v>0.96052760000020498</v>
      </c>
      <c r="X80" s="1" t="s">
        <v>33</v>
      </c>
      <c r="Y80" s="1" t="s">
        <v>34</v>
      </c>
      <c r="Z80" s="1">
        <v>1</v>
      </c>
      <c r="AA80" s="1" t="s">
        <v>35</v>
      </c>
      <c r="AB80" s="1" t="s">
        <v>36</v>
      </c>
      <c r="AC80" s="1"/>
      <c r="AD80" s="1" t="s">
        <v>37</v>
      </c>
      <c r="AE80" s="1">
        <v>60.023216980676203</v>
      </c>
      <c r="AF80" s="1" t="s">
        <v>38</v>
      </c>
    </row>
    <row r="81" spans="1:32" x14ac:dyDescent="0.35">
      <c r="A81" s="1">
        <v>49</v>
      </c>
      <c r="B81" s="1">
        <v>60</v>
      </c>
      <c r="C81" s="1">
        <v>89</v>
      </c>
      <c r="D81" s="1">
        <v>79</v>
      </c>
      <c r="E81" s="1">
        <v>9</v>
      </c>
      <c r="F81" s="1">
        <v>7</v>
      </c>
      <c r="G81" s="1" t="s">
        <v>32</v>
      </c>
      <c r="H81" s="1">
        <v>0.63894330000039101</v>
      </c>
      <c r="I81" s="1" t="s">
        <v>33</v>
      </c>
      <c r="J81" s="1">
        <v>7</v>
      </c>
      <c r="K81" s="1">
        <v>9</v>
      </c>
      <c r="L81" s="1">
        <v>79</v>
      </c>
      <c r="M81" s="1">
        <v>4</v>
      </c>
      <c r="N81" s="1">
        <v>215.07749189999501</v>
      </c>
      <c r="O81" s="1"/>
      <c r="P81" s="1">
        <v>215.067137199999</v>
      </c>
      <c r="Q81" s="1">
        <v>215.07749189999501</v>
      </c>
      <c r="R81" s="1">
        <v>216.06056199999799</v>
      </c>
      <c r="S81" s="1">
        <v>216.06056199999799</v>
      </c>
      <c r="T81" s="1">
        <v>216.07776829999699</v>
      </c>
      <c r="U81" s="1">
        <v>216.71116279999799</v>
      </c>
      <c r="V81" s="1" t="s">
        <v>32</v>
      </c>
      <c r="W81" s="1">
        <v>0.63894330000039101</v>
      </c>
      <c r="X81" s="1" t="s">
        <v>33</v>
      </c>
      <c r="Y81" s="1" t="s">
        <v>34</v>
      </c>
      <c r="Z81" s="1">
        <v>1</v>
      </c>
      <c r="AA81" s="1" t="s">
        <v>35</v>
      </c>
      <c r="AB81" s="1" t="s">
        <v>36</v>
      </c>
      <c r="AC81" s="1"/>
      <c r="AD81" s="1" t="s">
        <v>37</v>
      </c>
      <c r="AE81" s="1">
        <v>60.023216980676203</v>
      </c>
      <c r="AF81" s="1" t="s">
        <v>38</v>
      </c>
    </row>
    <row r="82" spans="1:32" x14ac:dyDescent="0.35">
      <c r="A82" s="1">
        <v>49</v>
      </c>
      <c r="B82" s="1">
        <v>60</v>
      </c>
      <c r="C82" s="1">
        <v>89</v>
      </c>
      <c r="D82" s="1">
        <v>80</v>
      </c>
      <c r="E82" s="1">
        <v>0</v>
      </c>
      <c r="F82" s="1">
        <v>8</v>
      </c>
      <c r="G82" s="1" t="s">
        <v>32</v>
      </c>
      <c r="H82" s="1">
        <v>0.71823020000010696</v>
      </c>
      <c r="I82" s="1" t="s">
        <v>33</v>
      </c>
      <c r="J82" s="1">
        <v>8</v>
      </c>
      <c r="K82" s="1">
        <v>0</v>
      </c>
      <c r="L82" s="1">
        <v>80</v>
      </c>
      <c r="M82" s="1">
        <v>4</v>
      </c>
      <c r="N82" s="1">
        <v>216.726792199995</v>
      </c>
      <c r="O82" s="1"/>
      <c r="P82" s="1">
        <v>216.71177180000001</v>
      </c>
      <c r="Q82" s="1">
        <v>216.726792199995</v>
      </c>
      <c r="R82" s="1">
        <v>217.72661599999901</v>
      </c>
      <c r="S82" s="1">
        <v>217.72661599999901</v>
      </c>
      <c r="T82" s="1">
        <v>217.72661599999901</v>
      </c>
      <c r="U82" s="1">
        <v>218.46062060000199</v>
      </c>
      <c r="V82" s="1" t="s">
        <v>32</v>
      </c>
      <c r="W82" s="1">
        <v>0.71823020000010696</v>
      </c>
      <c r="X82" s="1" t="s">
        <v>33</v>
      </c>
      <c r="Y82" s="1" t="s">
        <v>34</v>
      </c>
      <c r="Z82" s="1">
        <v>1</v>
      </c>
      <c r="AA82" s="1" t="s">
        <v>35</v>
      </c>
      <c r="AB82" s="1" t="s">
        <v>36</v>
      </c>
      <c r="AC82" s="1"/>
      <c r="AD82" s="1" t="s">
        <v>37</v>
      </c>
      <c r="AE82" s="1">
        <v>60.023216980676203</v>
      </c>
      <c r="AF82" s="1" t="s">
        <v>38</v>
      </c>
    </row>
    <row r="83" spans="1:32" x14ac:dyDescent="0.35">
      <c r="A83" s="1">
        <v>11</v>
      </c>
      <c r="B83" s="1">
        <v>30</v>
      </c>
      <c r="C83" s="1">
        <v>7</v>
      </c>
      <c r="D83" s="1">
        <v>81</v>
      </c>
      <c r="E83" s="1">
        <v>1</v>
      </c>
      <c r="F83" s="1">
        <v>8</v>
      </c>
      <c r="G83" s="1" t="s">
        <v>39</v>
      </c>
      <c r="H83" s="1">
        <v>3.2610122999976698</v>
      </c>
      <c r="I83" s="1" t="s">
        <v>33</v>
      </c>
      <c r="J83" s="1">
        <v>8</v>
      </c>
      <c r="K83" s="1">
        <v>1</v>
      </c>
      <c r="L83" s="1">
        <v>81</v>
      </c>
      <c r="M83" s="1">
        <v>0</v>
      </c>
      <c r="N83" s="1">
        <v>218.47652529999999</v>
      </c>
      <c r="O83" s="1"/>
      <c r="P83" s="1">
        <v>218.46738139999701</v>
      </c>
      <c r="Q83" s="1">
        <v>218.47652529999999</v>
      </c>
      <c r="R83" s="1">
        <v>219.47630749999999</v>
      </c>
      <c r="S83" s="1">
        <v>219.47630749999999</v>
      </c>
      <c r="T83" s="1">
        <v>219.47630749999999</v>
      </c>
      <c r="U83" s="1">
        <v>222.74323949999899</v>
      </c>
      <c r="V83" s="1" t="s">
        <v>39</v>
      </c>
      <c r="W83" s="1">
        <v>3.2610122999976698</v>
      </c>
      <c r="X83" s="1" t="s">
        <v>33</v>
      </c>
      <c r="Y83" s="1" t="s">
        <v>34</v>
      </c>
      <c r="Z83" s="1">
        <v>1</v>
      </c>
      <c r="AA83" s="1" t="s">
        <v>35</v>
      </c>
      <c r="AB83" s="1" t="s">
        <v>36</v>
      </c>
      <c r="AC83" s="1"/>
      <c r="AD83" s="1" t="s">
        <v>37</v>
      </c>
      <c r="AE83" s="1">
        <v>60.023216980676203</v>
      </c>
      <c r="AF83" s="1" t="s">
        <v>38</v>
      </c>
    </row>
    <row r="84" spans="1:32" x14ac:dyDescent="0.35">
      <c r="A84" s="1">
        <v>88</v>
      </c>
      <c r="B84" s="1">
        <v>105</v>
      </c>
      <c r="C84" s="1">
        <v>200</v>
      </c>
      <c r="D84" s="1">
        <v>82</v>
      </c>
      <c r="E84" s="1">
        <v>2</v>
      </c>
      <c r="F84" s="1">
        <v>8</v>
      </c>
      <c r="G84" s="1" t="s">
        <v>32</v>
      </c>
      <c r="H84" s="1">
        <v>0.58758040000248002</v>
      </c>
      <c r="I84" s="1" t="s">
        <v>33</v>
      </c>
      <c r="J84" s="1">
        <v>8</v>
      </c>
      <c r="K84" s="1">
        <v>2</v>
      </c>
      <c r="L84" s="1">
        <v>82</v>
      </c>
      <c r="M84" s="1">
        <v>7</v>
      </c>
      <c r="N84" s="1">
        <v>222.75904549999501</v>
      </c>
      <c r="O84" s="1"/>
      <c r="P84" s="1">
        <v>222.75110509999601</v>
      </c>
      <c r="Q84" s="1">
        <v>222.75904549999501</v>
      </c>
      <c r="R84" s="1">
        <v>223.758854200001</v>
      </c>
      <c r="S84" s="1">
        <v>223.758854200001</v>
      </c>
      <c r="T84" s="1">
        <v>223.758854200001</v>
      </c>
      <c r="U84" s="1">
        <v>224.359633399995</v>
      </c>
      <c r="V84" s="1" t="s">
        <v>32</v>
      </c>
      <c r="W84" s="1">
        <v>0.58758040000248002</v>
      </c>
      <c r="X84" s="1" t="s">
        <v>33</v>
      </c>
      <c r="Y84" s="1" t="s">
        <v>34</v>
      </c>
      <c r="Z84" s="1">
        <v>1</v>
      </c>
      <c r="AA84" s="1" t="s">
        <v>35</v>
      </c>
      <c r="AB84" s="1" t="s">
        <v>36</v>
      </c>
      <c r="AC84" s="1"/>
      <c r="AD84" s="1" t="s">
        <v>37</v>
      </c>
      <c r="AE84" s="1">
        <v>60.023216980676203</v>
      </c>
      <c r="AF84" s="1" t="s">
        <v>38</v>
      </c>
    </row>
    <row r="85" spans="1:32" x14ac:dyDescent="0.35">
      <c r="A85" s="1">
        <v>98</v>
      </c>
      <c r="B85" s="1">
        <v>120</v>
      </c>
      <c r="C85" s="1">
        <v>230</v>
      </c>
      <c r="D85" s="1">
        <v>83</v>
      </c>
      <c r="E85" s="1">
        <v>3</v>
      </c>
      <c r="F85" s="1">
        <v>8</v>
      </c>
      <c r="G85" s="1" t="s">
        <v>32</v>
      </c>
      <c r="H85" s="1">
        <v>0.49181499999394801</v>
      </c>
      <c r="I85" s="1" t="s">
        <v>33</v>
      </c>
      <c r="J85" s="1">
        <v>8</v>
      </c>
      <c r="K85" s="1">
        <v>3</v>
      </c>
      <c r="L85" s="1">
        <v>83</v>
      </c>
      <c r="M85" s="1">
        <v>8</v>
      </c>
      <c r="N85" s="1">
        <v>224.37554909999699</v>
      </c>
      <c r="O85" s="1"/>
      <c r="P85" s="1">
        <v>224.367604799997</v>
      </c>
      <c r="Q85" s="1">
        <v>224.37554909999699</v>
      </c>
      <c r="R85" s="1">
        <v>225.35869649999901</v>
      </c>
      <c r="S85" s="1">
        <v>225.35869649999901</v>
      </c>
      <c r="T85" s="1">
        <v>225.37536089999699</v>
      </c>
      <c r="U85" s="1">
        <v>225.85948300000001</v>
      </c>
      <c r="V85" s="1" t="s">
        <v>32</v>
      </c>
      <c r="W85" s="1">
        <v>0.49181499999394801</v>
      </c>
      <c r="X85" s="1" t="s">
        <v>33</v>
      </c>
      <c r="Y85" s="1" t="s">
        <v>34</v>
      </c>
      <c r="Z85" s="1">
        <v>1</v>
      </c>
      <c r="AA85" s="1" t="s">
        <v>35</v>
      </c>
      <c r="AB85" s="1" t="s">
        <v>36</v>
      </c>
      <c r="AC85" s="1"/>
      <c r="AD85" s="1" t="s">
        <v>37</v>
      </c>
      <c r="AE85" s="1">
        <v>60.023216980676203</v>
      </c>
      <c r="AF85" s="1" t="s">
        <v>38</v>
      </c>
    </row>
    <row r="86" spans="1:32" x14ac:dyDescent="0.35">
      <c r="A86" s="1">
        <v>110</v>
      </c>
      <c r="B86" s="1">
        <v>135</v>
      </c>
      <c r="C86" s="1">
        <v>270</v>
      </c>
      <c r="D86" s="1">
        <v>84</v>
      </c>
      <c r="E86" s="1">
        <v>4</v>
      </c>
      <c r="F86" s="1">
        <v>8</v>
      </c>
      <c r="G86" s="1" t="s">
        <v>32</v>
      </c>
      <c r="H86" s="1">
        <v>1.8931452999968299</v>
      </c>
      <c r="I86" s="1" t="s">
        <v>33</v>
      </c>
      <c r="J86" s="1">
        <v>8</v>
      </c>
      <c r="K86" s="1">
        <v>4</v>
      </c>
      <c r="L86" s="1">
        <v>84</v>
      </c>
      <c r="M86" s="1">
        <v>9</v>
      </c>
      <c r="N86" s="1">
        <v>225.87518039999799</v>
      </c>
      <c r="O86" s="1"/>
      <c r="P86" s="1">
        <v>225.867152400001</v>
      </c>
      <c r="Q86" s="1">
        <v>225.87518039999799</v>
      </c>
      <c r="R86" s="1">
        <v>226.875095099996</v>
      </c>
      <c r="S86" s="1">
        <v>226.875095099996</v>
      </c>
      <c r="T86" s="1">
        <v>226.875095099996</v>
      </c>
      <c r="U86" s="1">
        <v>228.77535109999701</v>
      </c>
      <c r="V86" s="1" t="s">
        <v>32</v>
      </c>
      <c r="W86" s="1">
        <v>1.8931452999968299</v>
      </c>
      <c r="X86" s="1" t="s">
        <v>33</v>
      </c>
      <c r="Y86" s="1" t="s">
        <v>34</v>
      </c>
      <c r="Z86" s="1">
        <v>1</v>
      </c>
      <c r="AA86" s="1" t="s">
        <v>35</v>
      </c>
      <c r="AB86" s="1" t="s">
        <v>36</v>
      </c>
      <c r="AC86" s="1"/>
      <c r="AD86" s="1" t="s">
        <v>37</v>
      </c>
      <c r="AE86" s="1">
        <v>60.023216980676203</v>
      </c>
      <c r="AF86" s="1" t="s">
        <v>38</v>
      </c>
    </row>
    <row r="87" spans="1:32" x14ac:dyDescent="0.35">
      <c r="A87" s="1">
        <v>27</v>
      </c>
      <c r="B87" s="1">
        <v>50</v>
      </c>
      <c r="C87" s="1">
        <v>21</v>
      </c>
      <c r="D87" s="1">
        <v>85</v>
      </c>
      <c r="E87" s="1">
        <v>5</v>
      </c>
      <c r="F87" s="1">
        <v>8</v>
      </c>
      <c r="G87" s="1" t="s">
        <v>32</v>
      </c>
      <c r="H87" s="1">
        <v>0.89825330000167003</v>
      </c>
      <c r="I87" s="1" t="s">
        <v>33</v>
      </c>
      <c r="J87" s="1">
        <v>8</v>
      </c>
      <c r="K87" s="1">
        <v>5</v>
      </c>
      <c r="L87" s="1">
        <v>85</v>
      </c>
      <c r="M87" s="1">
        <v>2</v>
      </c>
      <c r="N87" s="1">
        <v>228.79155119999601</v>
      </c>
      <c r="O87" s="1"/>
      <c r="P87" s="1">
        <v>228.781745699998</v>
      </c>
      <c r="Q87" s="1">
        <v>228.79155119999601</v>
      </c>
      <c r="R87" s="1">
        <v>229.774628499995</v>
      </c>
      <c r="S87" s="1">
        <v>229.774628499995</v>
      </c>
      <c r="T87" s="1">
        <v>229.7912718</v>
      </c>
      <c r="U87" s="1">
        <v>230.67521390000101</v>
      </c>
      <c r="V87" s="1" t="s">
        <v>32</v>
      </c>
      <c r="W87" s="1">
        <v>0.89825330000167003</v>
      </c>
      <c r="X87" s="1" t="s">
        <v>33</v>
      </c>
      <c r="Y87" s="1" t="s">
        <v>34</v>
      </c>
      <c r="Z87" s="1">
        <v>1</v>
      </c>
      <c r="AA87" s="1" t="s">
        <v>35</v>
      </c>
      <c r="AB87" s="1" t="s">
        <v>36</v>
      </c>
      <c r="AC87" s="1"/>
      <c r="AD87" s="1" t="s">
        <v>37</v>
      </c>
      <c r="AE87" s="1">
        <v>60.023216980676203</v>
      </c>
      <c r="AF87" s="1" t="s">
        <v>38</v>
      </c>
    </row>
    <row r="88" spans="1:32" x14ac:dyDescent="0.35">
      <c r="A88" s="1">
        <v>15</v>
      </c>
      <c r="B88" s="1">
        <v>35</v>
      </c>
      <c r="C88" s="1">
        <v>13</v>
      </c>
      <c r="D88" s="1">
        <v>86</v>
      </c>
      <c r="E88" s="1">
        <v>6</v>
      </c>
      <c r="F88" s="1">
        <v>8</v>
      </c>
      <c r="G88" s="1" t="s">
        <v>39</v>
      </c>
      <c r="H88" s="1">
        <v>1.5438499000010699</v>
      </c>
      <c r="I88" s="1" t="s">
        <v>33</v>
      </c>
      <c r="J88" s="1">
        <v>8</v>
      </c>
      <c r="K88" s="1">
        <v>6</v>
      </c>
      <c r="L88" s="1">
        <v>86</v>
      </c>
      <c r="M88" s="1">
        <v>1</v>
      </c>
      <c r="N88" s="1">
        <v>230.691063599995</v>
      </c>
      <c r="O88" s="1"/>
      <c r="P88" s="1">
        <v>230.68260569999899</v>
      </c>
      <c r="Q88" s="1">
        <v>230.691063599995</v>
      </c>
      <c r="R88" s="1">
        <v>231.67431419999701</v>
      </c>
      <c r="S88" s="1">
        <v>231.67431419999701</v>
      </c>
      <c r="T88" s="1">
        <v>231.69098980000101</v>
      </c>
      <c r="U88" s="1">
        <v>233.22485099999901</v>
      </c>
      <c r="V88" s="1" t="s">
        <v>39</v>
      </c>
      <c r="W88" s="1">
        <v>1.5438499000010699</v>
      </c>
      <c r="X88" s="1" t="s">
        <v>33</v>
      </c>
      <c r="Y88" s="1" t="s">
        <v>34</v>
      </c>
      <c r="Z88" s="1">
        <v>1</v>
      </c>
      <c r="AA88" s="1" t="s">
        <v>35</v>
      </c>
      <c r="AB88" s="1" t="s">
        <v>36</v>
      </c>
      <c r="AC88" s="1"/>
      <c r="AD88" s="1" t="s">
        <v>37</v>
      </c>
      <c r="AE88" s="1">
        <v>60.023216980676203</v>
      </c>
      <c r="AF88" s="1" t="s">
        <v>38</v>
      </c>
    </row>
    <row r="89" spans="1:32" x14ac:dyDescent="0.35">
      <c r="A89" s="1">
        <v>67</v>
      </c>
      <c r="B89" s="1">
        <v>75</v>
      </c>
      <c r="C89" s="1">
        <v>119</v>
      </c>
      <c r="D89" s="1">
        <v>87</v>
      </c>
      <c r="E89" s="1">
        <v>7</v>
      </c>
      <c r="F89" s="1">
        <v>8</v>
      </c>
      <c r="G89" s="1" t="s">
        <v>32</v>
      </c>
      <c r="H89" s="1">
        <v>0.78098329999920602</v>
      </c>
      <c r="I89" s="1" t="s">
        <v>33</v>
      </c>
      <c r="J89" s="1">
        <v>8</v>
      </c>
      <c r="K89" s="1">
        <v>7</v>
      </c>
      <c r="L89" s="1">
        <v>87</v>
      </c>
      <c r="M89" s="1">
        <v>5</v>
      </c>
      <c r="N89" s="1">
        <v>233.257433300001</v>
      </c>
      <c r="O89" s="1"/>
      <c r="P89" s="1">
        <v>233.23471799999899</v>
      </c>
      <c r="Q89" s="1">
        <v>233.257433300001</v>
      </c>
      <c r="R89" s="1">
        <v>234.223844200001</v>
      </c>
      <c r="S89" s="1">
        <v>234.223844200001</v>
      </c>
      <c r="T89" s="1">
        <v>234.25718880000201</v>
      </c>
      <c r="U89" s="1">
        <v>235.008116199998</v>
      </c>
      <c r="V89" s="1" t="s">
        <v>32</v>
      </c>
      <c r="W89" s="1">
        <v>0.78098329999920602</v>
      </c>
      <c r="X89" s="1" t="s">
        <v>33</v>
      </c>
      <c r="Y89" s="1" t="s">
        <v>34</v>
      </c>
      <c r="Z89" s="1">
        <v>1</v>
      </c>
      <c r="AA89" s="1" t="s">
        <v>35</v>
      </c>
      <c r="AB89" s="1" t="s">
        <v>36</v>
      </c>
      <c r="AC89" s="1"/>
      <c r="AD89" s="1" t="s">
        <v>37</v>
      </c>
      <c r="AE89" s="1">
        <v>60.023216980676203</v>
      </c>
      <c r="AF89" s="1" t="s">
        <v>38</v>
      </c>
    </row>
    <row r="90" spans="1:32" x14ac:dyDescent="0.35">
      <c r="A90" s="1">
        <v>78</v>
      </c>
      <c r="B90" s="1">
        <v>80</v>
      </c>
      <c r="C90" s="1">
        <v>162</v>
      </c>
      <c r="D90" s="1">
        <v>88</v>
      </c>
      <c r="E90" s="1">
        <v>8</v>
      </c>
      <c r="F90" s="1">
        <v>8</v>
      </c>
      <c r="G90" s="1" t="s">
        <v>32</v>
      </c>
      <c r="H90" s="1">
        <v>0.76774529999966001</v>
      </c>
      <c r="I90" s="1" t="s">
        <v>33</v>
      </c>
      <c r="J90" s="1">
        <v>8</v>
      </c>
      <c r="K90" s="1">
        <v>8</v>
      </c>
      <c r="L90" s="1">
        <v>88</v>
      </c>
      <c r="M90" s="1">
        <v>6</v>
      </c>
      <c r="N90" s="1">
        <v>235.023608499999</v>
      </c>
      <c r="O90" s="1"/>
      <c r="P90" s="1">
        <v>235.01394989999901</v>
      </c>
      <c r="Q90" s="1">
        <v>235.023608499999</v>
      </c>
      <c r="R90" s="1">
        <v>236.00690439999701</v>
      </c>
      <c r="S90" s="1">
        <v>236.00690439999701</v>
      </c>
      <c r="T90" s="1">
        <v>236.024431699996</v>
      </c>
      <c r="U90" s="1">
        <v>236.79070330000101</v>
      </c>
      <c r="V90" s="1" t="s">
        <v>32</v>
      </c>
      <c r="W90" s="1">
        <v>0.76774529999966001</v>
      </c>
      <c r="X90" s="1" t="s">
        <v>33</v>
      </c>
      <c r="Y90" s="1" t="s">
        <v>34</v>
      </c>
      <c r="Z90" s="1">
        <v>1</v>
      </c>
      <c r="AA90" s="1" t="s">
        <v>35</v>
      </c>
      <c r="AB90" s="1" t="s">
        <v>36</v>
      </c>
      <c r="AC90" s="1"/>
      <c r="AD90" s="1" t="s">
        <v>37</v>
      </c>
      <c r="AE90" s="1">
        <v>60.023216980676203</v>
      </c>
      <c r="AF90" s="1" t="s">
        <v>38</v>
      </c>
    </row>
    <row r="91" spans="1:32" x14ac:dyDescent="0.35">
      <c r="A91" s="1">
        <v>40</v>
      </c>
      <c r="B91" s="1">
        <v>55</v>
      </c>
      <c r="C91" s="1">
        <v>62</v>
      </c>
      <c r="D91" s="1">
        <v>89</v>
      </c>
      <c r="E91" s="1">
        <v>9</v>
      </c>
      <c r="F91" s="1">
        <v>8</v>
      </c>
      <c r="G91" s="1" t="s">
        <v>32</v>
      </c>
      <c r="H91" s="1">
        <v>0.91118470000219498</v>
      </c>
      <c r="I91" s="1" t="s">
        <v>33</v>
      </c>
      <c r="J91" s="1">
        <v>8</v>
      </c>
      <c r="K91" s="1">
        <v>9</v>
      </c>
      <c r="L91" s="1">
        <v>89</v>
      </c>
      <c r="M91" s="1">
        <v>3</v>
      </c>
      <c r="N91" s="1">
        <v>236.80661809999501</v>
      </c>
      <c r="O91" s="1"/>
      <c r="P91" s="1">
        <v>236.79541430000199</v>
      </c>
      <c r="Q91" s="1">
        <v>236.80661809999501</v>
      </c>
      <c r="R91" s="1">
        <v>237.789869499996</v>
      </c>
      <c r="S91" s="1">
        <v>237.789869499996</v>
      </c>
      <c r="T91" s="1">
        <v>237.80649869999601</v>
      </c>
      <c r="U91" s="1">
        <v>238.70715639999901</v>
      </c>
      <c r="V91" s="1" t="s">
        <v>32</v>
      </c>
      <c r="W91" s="1">
        <v>0.91118470000219498</v>
      </c>
      <c r="X91" s="1" t="s">
        <v>33</v>
      </c>
      <c r="Y91" s="1" t="s">
        <v>34</v>
      </c>
      <c r="Z91" s="1">
        <v>1</v>
      </c>
      <c r="AA91" s="1" t="s">
        <v>35</v>
      </c>
      <c r="AB91" s="1" t="s">
        <v>36</v>
      </c>
      <c r="AC91" s="1"/>
      <c r="AD91" s="1" t="s">
        <v>37</v>
      </c>
      <c r="AE91" s="1">
        <v>60.023216980676203</v>
      </c>
      <c r="AF91" s="1" t="s">
        <v>38</v>
      </c>
    </row>
    <row r="92" spans="1:32" x14ac:dyDescent="0.35">
      <c r="A92" s="1">
        <v>78</v>
      </c>
      <c r="B92" s="1">
        <v>80</v>
      </c>
      <c r="C92" s="1">
        <v>162</v>
      </c>
      <c r="D92" s="1">
        <v>90</v>
      </c>
      <c r="E92" s="1">
        <v>0</v>
      </c>
      <c r="F92" s="1">
        <v>9</v>
      </c>
      <c r="G92" s="1" t="s">
        <v>32</v>
      </c>
      <c r="H92" s="1">
        <v>0.76210459999856495</v>
      </c>
      <c r="I92" s="1" t="s">
        <v>33</v>
      </c>
      <c r="J92" s="1">
        <v>9</v>
      </c>
      <c r="K92" s="1">
        <v>0</v>
      </c>
      <c r="L92" s="1">
        <v>90</v>
      </c>
      <c r="M92" s="1">
        <v>6</v>
      </c>
      <c r="N92" s="1">
        <v>238.72295059999999</v>
      </c>
      <c r="O92" s="1"/>
      <c r="P92" s="1">
        <v>238.71601260000099</v>
      </c>
      <c r="Q92" s="1">
        <v>238.72295059999999</v>
      </c>
      <c r="R92" s="1">
        <v>239.70619189999701</v>
      </c>
      <c r="S92" s="1">
        <v>239.70619189999701</v>
      </c>
      <c r="T92" s="1">
        <v>239.7230337</v>
      </c>
      <c r="U92" s="1">
        <v>240.47357799999699</v>
      </c>
      <c r="V92" s="1" t="s">
        <v>32</v>
      </c>
      <c r="W92" s="1">
        <v>0.76210459999856495</v>
      </c>
      <c r="X92" s="1" t="s">
        <v>33</v>
      </c>
      <c r="Y92" s="1" t="s">
        <v>34</v>
      </c>
      <c r="Z92" s="1">
        <v>1</v>
      </c>
      <c r="AA92" s="1" t="s">
        <v>35</v>
      </c>
      <c r="AB92" s="1" t="s">
        <v>36</v>
      </c>
      <c r="AC92" s="1"/>
      <c r="AD92" s="1" t="s">
        <v>37</v>
      </c>
      <c r="AE92" s="1">
        <v>60.023216980676203</v>
      </c>
      <c r="AF92" s="1" t="s">
        <v>38</v>
      </c>
    </row>
    <row r="93" spans="1:32" x14ac:dyDescent="0.35">
      <c r="A93" s="1">
        <v>27</v>
      </c>
      <c r="B93" s="1">
        <v>50</v>
      </c>
      <c r="C93" s="1">
        <v>21</v>
      </c>
      <c r="D93" s="1">
        <v>91</v>
      </c>
      <c r="E93" s="1">
        <v>1</v>
      </c>
      <c r="F93" s="1">
        <v>9</v>
      </c>
      <c r="G93" s="1" t="s">
        <v>32</v>
      </c>
      <c r="H93" s="1">
        <v>1.07802320000337</v>
      </c>
      <c r="I93" s="1" t="s">
        <v>33</v>
      </c>
      <c r="J93" s="1">
        <v>9</v>
      </c>
      <c r="K93" s="1">
        <v>1</v>
      </c>
      <c r="L93" s="1">
        <v>91</v>
      </c>
      <c r="M93" s="1">
        <v>2</v>
      </c>
      <c r="N93" s="1">
        <v>240.489670399998</v>
      </c>
      <c r="O93" s="1"/>
      <c r="P93" s="1">
        <v>240.47865949999601</v>
      </c>
      <c r="Q93" s="1">
        <v>240.489670399998</v>
      </c>
      <c r="R93" s="1">
        <v>241.47279159999701</v>
      </c>
      <c r="S93" s="1">
        <v>241.47279159999701</v>
      </c>
      <c r="T93" s="1">
        <v>241.489426799998</v>
      </c>
      <c r="U93" s="1">
        <v>242.556686999996</v>
      </c>
      <c r="V93" s="1" t="s">
        <v>32</v>
      </c>
      <c r="W93" s="1">
        <v>1.07802320000337</v>
      </c>
      <c r="X93" s="1" t="s">
        <v>33</v>
      </c>
      <c r="Y93" s="1" t="s">
        <v>34</v>
      </c>
      <c r="Z93" s="1">
        <v>1</v>
      </c>
      <c r="AA93" s="1" t="s">
        <v>35</v>
      </c>
      <c r="AB93" s="1" t="s">
        <v>36</v>
      </c>
      <c r="AC93" s="1"/>
      <c r="AD93" s="1" t="s">
        <v>37</v>
      </c>
      <c r="AE93" s="1">
        <v>60.023216980676203</v>
      </c>
      <c r="AF93" s="1" t="s">
        <v>38</v>
      </c>
    </row>
    <row r="94" spans="1:32" x14ac:dyDescent="0.35">
      <c r="A94" s="1">
        <v>49</v>
      </c>
      <c r="B94" s="1">
        <v>60</v>
      </c>
      <c r="C94" s="1">
        <v>89</v>
      </c>
      <c r="D94" s="1">
        <v>92</v>
      </c>
      <c r="E94" s="1">
        <v>2</v>
      </c>
      <c r="F94" s="1">
        <v>9</v>
      </c>
      <c r="G94" s="1" t="s">
        <v>32</v>
      </c>
      <c r="H94" s="1">
        <v>0.92561150000255998</v>
      </c>
      <c r="I94" s="1" t="s">
        <v>33</v>
      </c>
      <c r="J94" s="1">
        <v>9</v>
      </c>
      <c r="K94" s="1">
        <v>2</v>
      </c>
      <c r="L94" s="1">
        <v>92</v>
      </c>
      <c r="M94" s="1">
        <v>4</v>
      </c>
      <c r="N94" s="1">
        <v>242.58920329999799</v>
      </c>
      <c r="O94" s="1"/>
      <c r="P94" s="1">
        <v>242.56568429999601</v>
      </c>
      <c r="Q94" s="1">
        <v>242.58920329999799</v>
      </c>
      <c r="R94" s="1">
        <v>243.555747099999</v>
      </c>
      <c r="S94" s="1">
        <v>243.555747099999</v>
      </c>
      <c r="T94" s="1">
        <v>243.58906079999699</v>
      </c>
      <c r="U94" s="1">
        <v>244.49053219999701</v>
      </c>
      <c r="V94" s="1" t="s">
        <v>32</v>
      </c>
      <c r="W94" s="1">
        <v>0.92561150000255998</v>
      </c>
      <c r="X94" s="1" t="s">
        <v>33</v>
      </c>
      <c r="Y94" s="1" t="s">
        <v>34</v>
      </c>
      <c r="Z94" s="1">
        <v>1</v>
      </c>
      <c r="AA94" s="1" t="s">
        <v>35</v>
      </c>
      <c r="AB94" s="1" t="s">
        <v>36</v>
      </c>
      <c r="AC94" s="1"/>
      <c r="AD94" s="1" t="s">
        <v>37</v>
      </c>
      <c r="AE94" s="1">
        <v>60.023216980676203</v>
      </c>
      <c r="AF94" s="1" t="s">
        <v>38</v>
      </c>
    </row>
    <row r="95" spans="1:32" x14ac:dyDescent="0.35">
      <c r="A95" s="1">
        <v>67</v>
      </c>
      <c r="B95" s="1">
        <v>75</v>
      </c>
      <c r="C95" s="1">
        <v>119</v>
      </c>
      <c r="D95" s="1">
        <v>93</v>
      </c>
      <c r="E95" s="1">
        <v>3</v>
      </c>
      <c r="F95" s="1">
        <v>9</v>
      </c>
      <c r="G95" s="1" t="s">
        <v>32</v>
      </c>
      <c r="H95" s="1">
        <v>2.74277810000057</v>
      </c>
      <c r="I95" s="1" t="s">
        <v>33</v>
      </c>
      <c r="J95" s="1">
        <v>9</v>
      </c>
      <c r="K95" s="1">
        <v>3</v>
      </c>
      <c r="L95" s="1">
        <v>93</v>
      </c>
      <c r="M95" s="1">
        <v>5</v>
      </c>
      <c r="N95" s="1">
        <v>244.50555069999899</v>
      </c>
      <c r="O95" s="1"/>
      <c r="P95" s="1">
        <v>244.497335899999</v>
      </c>
      <c r="Q95" s="1">
        <v>244.50555069999899</v>
      </c>
      <c r="R95" s="1">
        <v>245.50547469999501</v>
      </c>
      <c r="S95" s="1">
        <v>245.50547469999501</v>
      </c>
      <c r="T95" s="1">
        <v>245.50547469999501</v>
      </c>
      <c r="U95" s="1">
        <v>248.25548179999799</v>
      </c>
      <c r="V95" s="1" t="s">
        <v>32</v>
      </c>
      <c r="W95" s="1">
        <v>2.74277810000057</v>
      </c>
      <c r="X95" s="1" t="s">
        <v>33</v>
      </c>
      <c r="Y95" s="1" t="s">
        <v>34</v>
      </c>
      <c r="Z95" s="1">
        <v>1</v>
      </c>
      <c r="AA95" s="1" t="s">
        <v>35</v>
      </c>
      <c r="AB95" s="1" t="s">
        <v>36</v>
      </c>
      <c r="AC95" s="1"/>
      <c r="AD95" s="1" t="s">
        <v>37</v>
      </c>
      <c r="AE95" s="1">
        <v>60.023216980676203</v>
      </c>
      <c r="AF95" s="1" t="s">
        <v>38</v>
      </c>
    </row>
    <row r="96" spans="1:32" x14ac:dyDescent="0.35">
      <c r="A96" s="1">
        <v>88</v>
      </c>
      <c r="B96" s="1">
        <v>105</v>
      </c>
      <c r="C96" s="1">
        <v>200</v>
      </c>
      <c r="D96" s="1">
        <v>94</v>
      </c>
      <c r="E96" s="1">
        <v>4</v>
      </c>
      <c r="F96" s="1">
        <v>9</v>
      </c>
      <c r="G96" s="1" t="s">
        <v>32</v>
      </c>
      <c r="H96" s="1">
        <v>0.51476729999558302</v>
      </c>
      <c r="I96" s="1" t="s">
        <v>33</v>
      </c>
      <c r="J96" s="1">
        <v>9</v>
      </c>
      <c r="K96" s="1">
        <v>4</v>
      </c>
      <c r="L96" s="1">
        <v>94</v>
      </c>
      <c r="M96" s="1">
        <v>7</v>
      </c>
      <c r="N96" s="1">
        <v>248.271509599995</v>
      </c>
      <c r="O96" s="1"/>
      <c r="P96" s="1">
        <v>248.26236559999899</v>
      </c>
      <c r="Q96" s="1">
        <v>248.271509599995</v>
      </c>
      <c r="R96" s="1">
        <v>249.25480860000201</v>
      </c>
      <c r="S96" s="1">
        <v>249.25480860000201</v>
      </c>
      <c r="T96" s="1">
        <v>249.271447999999</v>
      </c>
      <c r="U96" s="1">
        <v>249.77206589999599</v>
      </c>
      <c r="V96" s="1" t="s">
        <v>32</v>
      </c>
      <c r="W96" s="1">
        <v>0.51476729999558302</v>
      </c>
      <c r="X96" s="1" t="s">
        <v>33</v>
      </c>
      <c r="Y96" s="1" t="s">
        <v>34</v>
      </c>
      <c r="Z96" s="1">
        <v>1</v>
      </c>
      <c r="AA96" s="1" t="s">
        <v>35</v>
      </c>
      <c r="AB96" s="1" t="s">
        <v>36</v>
      </c>
      <c r="AC96" s="1"/>
      <c r="AD96" s="1" t="s">
        <v>37</v>
      </c>
      <c r="AE96" s="1">
        <v>60.023216980676203</v>
      </c>
      <c r="AF96" s="1" t="s">
        <v>38</v>
      </c>
    </row>
    <row r="97" spans="1:32" x14ac:dyDescent="0.35">
      <c r="A97" s="1">
        <v>98</v>
      </c>
      <c r="B97" s="1">
        <v>120</v>
      </c>
      <c r="C97" s="1">
        <v>230</v>
      </c>
      <c r="D97" s="1">
        <v>95</v>
      </c>
      <c r="E97" s="1">
        <v>5</v>
      </c>
      <c r="F97" s="1">
        <v>9</v>
      </c>
      <c r="G97" s="1" t="s">
        <v>32</v>
      </c>
      <c r="H97" s="1">
        <v>0.493240000003424</v>
      </c>
      <c r="I97" s="1" t="s">
        <v>33</v>
      </c>
      <c r="J97" s="1">
        <v>9</v>
      </c>
      <c r="K97" s="1">
        <v>5</v>
      </c>
      <c r="L97" s="1">
        <v>95</v>
      </c>
      <c r="M97" s="1">
        <v>8</v>
      </c>
      <c r="N97" s="1">
        <v>249.787829299995</v>
      </c>
      <c r="O97" s="1"/>
      <c r="P97" s="1">
        <v>249.780659700001</v>
      </c>
      <c r="Q97" s="1">
        <v>249.787829299995</v>
      </c>
      <c r="R97" s="1">
        <v>250.78784599999901</v>
      </c>
      <c r="S97" s="1">
        <v>250.78784599999901</v>
      </c>
      <c r="T97" s="1">
        <v>250.78784599999901</v>
      </c>
      <c r="U97" s="1">
        <v>251.288586000002</v>
      </c>
      <c r="V97" s="1" t="s">
        <v>32</v>
      </c>
      <c r="W97" s="1">
        <v>0.493240000003424</v>
      </c>
      <c r="X97" s="1" t="s">
        <v>33</v>
      </c>
      <c r="Y97" s="1" t="s">
        <v>34</v>
      </c>
      <c r="Z97" s="1">
        <v>1</v>
      </c>
      <c r="AA97" s="1" t="s">
        <v>35</v>
      </c>
      <c r="AB97" s="1" t="s">
        <v>36</v>
      </c>
      <c r="AC97" s="1"/>
      <c r="AD97" s="1" t="s">
        <v>37</v>
      </c>
      <c r="AE97" s="1">
        <v>60.023216980676203</v>
      </c>
      <c r="AF97" s="1" t="s">
        <v>38</v>
      </c>
    </row>
    <row r="98" spans="1:32" x14ac:dyDescent="0.35">
      <c r="A98" s="1">
        <v>11</v>
      </c>
      <c r="B98" s="1">
        <v>30</v>
      </c>
      <c r="C98" s="1">
        <v>7</v>
      </c>
      <c r="D98" s="1">
        <v>96</v>
      </c>
      <c r="E98" s="1">
        <v>6</v>
      </c>
      <c r="F98" s="1">
        <v>9</v>
      </c>
      <c r="G98" s="1" t="s">
        <v>39</v>
      </c>
      <c r="H98" s="1">
        <v>1.6110267999974801</v>
      </c>
      <c r="I98" s="1" t="s">
        <v>33</v>
      </c>
      <c r="J98" s="1">
        <v>9</v>
      </c>
      <c r="K98" s="1">
        <v>6</v>
      </c>
      <c r="L98" s="1">
        <v>96</v>
      </c>
      <c r="M98" s="1">
        <v>0</v>
      </c>
      <c r="N98" s="1">
        <v>251.304431799995</v>
      </c>
      <c r="O98" s="1"/>
      <c r="P98" s="1">
        <v>251.294903599999</v>
      </c>
      <c r="Q98" s="1">
        <v>251.304431799995</v>
      </c>
      <c r="R98" s="1">
        <v>252.287761200001</v>
      </c>
      <c r="S98" s="1">
        <v>252.287761200001</v>
      </c>
      <c r="T98" s="1">
        <v>252.30427909999699</v>
      </c>
      <c r="U98" s="1">
        <v>253.90473299999499</v>
      </c>
      <c r="V98" s="1" t="s">
        <v>39</v>
      </c>
      <c r="W98" s="1">
        <v>1.6110267999974801</v>
      </c>
      <c r="X98" s="1" t="s">
        <v>33</v>
      </c>
      <c r="Y98" s="1" t="s">
        <v>34</v>
      </c>
      <c r="Z98" s="1">
        <v>1</v>
      </c>
      <c r="AA98" s="1" t="s">
        <v>35</v>
      </c>
      <c r="AB98" s="1" t="s">
        <v>36</v>
      </c>
      <c r="AC98" s="1"/>
      <c r="AD98" s="1" t="s">
        <v>37</v>
      </c>
      <c r="AE98" s="1">
        <v>60.023216980676203</v>
      </c>
      <c r="AF98" s="1" t="s">
        <v>38</v>
      </c>
    </row>
    <row r="99" spans="1:32" x14ac:dyDescent="0.35">
      <c r="A99" s="1">
        <v>40</v>
      </c>
      <c r="B99" s="1">
        <v>55</v>
      </c>
      <c r="C99" s="1">
        <v>62</v>
      </c>
      <c r="D99" s="1">
        <v>97</v>
      </c>
      <c r="E99" s="1">
        <v>7</v>
      </c>
      <c r="F99" s="1">
        <v>9</v>
      </c>
      <c r="G99" s="1" t="s">
        <v>32</v>
      </c>
      <c r="H99" s="1">
        <v>0.56608959999721198</v>
      </c>
      <c r="I99" s="1" t="s">
        <v>33</v>
      </c>
      <c r="J99" s="1">
        <v>9</v>
      </c>
      <c r="K99" s="1">
        <v>7</v>
      </c>
      <c r="L99" s="1">
        <v>97</v>
      </c>
      <c r="M99" s="1">
        <v>3</v>
      </c>
      <c r="N99" s="1">
        <v>253.920573700001</v>
      </c>
      <c r="O99" s="1"/>
      <c r="P99" s="1">
        <v>253.91160710000199</v>
      </c>
      <c r="Q99" s="1">
        <v>253.920573700001</v>
      </c>
      <c r="R99" s="1">
        <v>254.92060369999601</v>
      </c>
      <c r="S99" s="1">
        <v>254.92060369999601</v>
      </c>
      <c r="T99" s="1">
        <v>254.92060369999601</v>
      </c>
      <c r="U99" s="1">
        <v>255.48756390000199</v>
      </c>
      <c r="V99" s="1" t="s">
        <v>32</v>
      </c>
      <c r="W99" s="1">
        <v>0.56608959999721198</v>
      </c>
      <c r="X99" s="1" t="s">
        <v>33</v>
      </c>
      <c r="Y99" s="1" t="s">
        <v>34</v>
      </c>
      <c r="Z99" s="1">
        <v>1</v>
      </c>
      <c r="AA99" s="1" t="s">
        <v>35</v>
      </c>
      <c r="AB99" s="1" t="s">
        <v>36</v>
      </c>
      <c r="AC99" s="1"/>
      <c r="AD99" s="1" t="s">
        <v>37</v>
      </c>
      <c r="AE99" s="1">
        <v>60.023216980676203</v>
      </c>
      <c r="AF99" s="1" t="s">
        <v>38</v>
      </c>
    </row>
    <row r="100" spans="1:32" x14ac:dyDescent="0.35">
      <c r="A100" s="1">
        <v>15</v>
      </c>
      <c r="B100" s="1">
        <v>35</v>
      </c>
      <c r="C100" s="1">
        <v>13</v>
      </c>
      <c r="D100" s="1">
        <v>98</v>
      </c>
      <c r="E100" s="1">
        <v>8</v>
      </c>
      <c r="F100" s="1">
        <v>9</v>
      </c>
      <c r="G100" s="1" t="s">
        <v>39</v>
      </c>
      <c r="H100" s="1">
        <v>1.1513382999983099</v>
      </c>
      <c r="I100" s="1" t="s">
        <v>33</v>
      </c>
      <c r="J100" s="1">
        <v>9</v>
      </c>
      <c r="K100" s="1">
        <v>8</v>
      </c>
      <c r="L100" s="1">
        <v>98</v>
      </c>
      <c r="M100" s="1">
        <v>1</v>
      </c>
      <c r="N100" s="1">
        <v>255.50362940000099</v>
      </c>
      <c r="O100" s="1"/>
      <c r="P100" s="1">
        <v>255.49321939999899</v>
      </c>
      <c r="Q100" s="1">
        <v>255.50362940000099</v>
      </c>
      <c r="R100" s="1">
        <v>256.48690350000101</v>
      </c>
      <c r="S100" s="1">
        <v>256.48690350000101</v>
      </c>
      <c r="T100" s="1">
        <v>256.50353570000101</v>
      </c>
      <c r="U100" s="1">
        <v>257.65390699999898</v>
      </c>
      <c r="V100" s="1" t="s">
        <v>39</v>
      </c>
      <c r="W100" s="1">
        <v>1.1513382999983099</v>
      </c>
      <c r="X100" s="1" t="s">
        <v>33</v>
      </c>
      <c r="Y100" s="1" t="s">
        <v>34</v>
      </c>
      <c r="Z100" s="1">
        <v>1</v>
      </c>
      <c r="AA100" s="1" t="s">
        <v>35</v>
      </c>
      <c r="AB100" s="1" t="s">
        <v>36</v>
      </c>
      <c r="AC100" s="1"/>
      <c r="AD100" s="1" t="s">
        <v>37</v>
      </c>
      <c r="AE100" s="1">
        <v>60.023216980676203</v>
      </c>
      <c r="AF100" s="1" t="s">
        <v>38</v>
      </c>
    </row>
    <row r="101" spans="1:32" x14ac:dyDescent="0.35">
      <c r="A101" s="1">
        <v>110</v>
      </c>
      <c r="B101" s="1">
        <v>135</v>
      </c>
      <c r="C101" s="1">
        <v>270</v>
      </c>
      <c r="D101" s="1">
        <v>99</v>
      </c>
      <c r="E101" s="1">
        <v>9</v>
      </c>
      <c r="F101" s="1">
        <v>9</v>
      </c>
      <c r="G101" s="1" t="s">
        <v>32</v>
      </c>
      <c r="H101" s="1">
        <v>0.78014169999369098</v>
      </c>
      <c r="I101" s="1" t="s">
        <v>33</v>
      </c>
      <c r="J101" s="1">
        <v>9</v>
      </c>
      <c r="K101" s="1">
        <v>9</v>
      </c>
      <c r="L101" s="1">
        <v>99</v>
      </c>
      <c r="M101" s="1">
        <v>9</v>
      </c>
      <c r="N101" s="1">
        <v>257.66992379999999</v>
      </c>
      <c r="O101" s="1"/>
      <c r="P101" s="1">
        <v>257.660180300001</v>
      </c>
      <c r="Q101" s="1">
        <v>257.66992379999999</v>
      </c>
      <c r="R101" s="1">
        <v>258.6539606</v>
      </c>
      <c r="S101" s="1">
        <v>258.6539606</v>
      </c>
      <c r="T101" s="1">
        <v>258.67058700000001</v>
      </c>
      <c r="U101" s="1">
        <v>259.43722459999799</v>
      </c>
      <c r="V101" s="1" t="s">
        <v>32</v>
      </c>
      <c r="W101" s="1">
        <v>0.78014169999369098</v>
      </c>
      <c r="X101" s="1" t="s">
        <v>33</v>
      </c>
      <c r="Y101" s="1" t="s">
        <v>34</v>
      </c>
      <c r="Z101" s="1">
        <v>1</v>
      </c>
      <c r="AA101" s="1" t="s">
        <v>35</v>
      </c>
      <c r="AB101" s="1" t="s">
        <v>36</v>
      </c>
      <c r="AC101" s="1"/>
      <c r="AD101" s="1" t="s">
        <v>37</v>
      </c>
      <c r="AE101" s="1">
        <v>60.023216980676203</v>
      </c>
      <c r="AF101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workbookViewId="0">
      <selection activeCell="G1" sqref="G1:G1048576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1">
        <v>98</v>
      </c>
      <c r="B2" s="1">
        <v>120</v>
      </c>
      <c r="C2" s="1">
        <v>230</v>
      </c>
      <c r="D2" s="1">
        <v>0</v>
      </c>
      <c r="E2" s="1">
        <v>0</v>
      </c>
      <c r="F2" s="1">
        <v>0</v>
      </c>
      <c r="G2" s="1" t="s">
        <v>32</v>
      </c>
      <c r="H2" s="1">
        <v>2.2883202999946599</v>
      </c>
      <c r="I2" s="1" t="s">
        <v>33</v>
      </c>
      <c r="J2" s="1">
        <v>0</v>
      </c>
      <c r="K2" s="1">
        <v>0</v>
      </c>
      <c r="L2" s="1">
        <v>0</v>
      </c>
      <c r="M2" s="1">
        <v>8</v>
      </c>
      <c r="N2" s="1">
        <v>0.20990490000258399</v>
      </c>
      <c r="O2" s="1"/>
      <c r="P2" s="1">
        <v>0.18580099999962801</v>
      </c>
      <c r="Q2" s="1">
        <v>0.20990490000258399</v>
      </c>
      <c r="R2" s="1">
        <v>1.00964709999971</v>
      </c>
      <c r="S2" s="1">
        <v>1.00964709999971</v>
      </c>
      <c r="T2" s="1">
        <v>1.2096237000005201</v>
      </c>
      <c r="U2" s="1">
        <v>3.31946340000286</v>
      </c>
      <c r="V2" s="1" t="s">
        <v>32</v>
      </c>
      <c r="W2" s="1">
        <v>2.2883202999946599</v>
      </c>
      <c r="X2" s="1" t="s">
        <v>33</v>
      </c>
      <c r="Y2" s="1" t="s">
        <v>40</v>
      </c>
      <c r="Z2" s="1">
        <v>1</v>
      </c>
      <c r="AA2" s="1" t="s">
        <v>41</v>
      </c>
      <c r="AB2" s="1" t="s">
        <v>36</v>
      </c>
      <c r="AC2" s="1"/>
      <c r="AD2" s="1" t="s">
        <v>37</v>
      </c>
      <c r="AE2" s="1">
        <v>60.019686456835203</v>
      </c>
      <c r="AF2" s="1" t="s">
        <v>42</v>
      </c>
    </row>
    <row r="3" spans="1:32" x14ac:dyDescent="0.35">
      <c r="A3" s="1">
        <v>88</v>
      </c>
      <c r="B3" s="1">
        <v>105</v>
      </c>
      <c r="C3" s="1">
        <v>200</v>
      </c>
      <c r="D3" s="1">
        <v>1</v>
      </c>
      <c r="E3" s="1">
        <v>1</v>
      </c>
      <c r="F3" s="1">
        <v>0</v>
      </c>
      <c r="G3" s="1" t="s">
        <v>32</v>
      </c>
      <c r="H3" s="1">
        <v>0.77137589999620104</v>
      </c>
      <c r="I3" s="1" t="s">
        <v>33</v>
      </c>
      <c r="J3" s="1">
        <v>0</v>
      </c>
      <c r="K3" s="1">
        <v>1</v>
      </c>
      <c r="L3" s="1">
        <v>1</v>
      </c>
      <c r="M3" s="1">
        <v>7</v>
      </c>
      <c r="N3" s="1">
        <v>3.3427608000056299</v>
      </c>
      <c r="O3" s="1"/>
      <c r="P3" s="1">
        <v>3.3331364000041499</v>
      </c>
      <c r="Q3" s="1">
        <v>3.3427608000056299</v>
      </c>
      <c r="R3" s="1">
        <v>4.3257891000030204</v>
      </c>
      <c r="S3" s="1">
        <v>4.3257891000030204</v>
      </c>
      <c r="T3" s="1">
        <v>4.3424585000029703</v>
      </c>
      <c r="U3" s="1">
        <v>5.1096418000015502</v>
      </c>
      <c r="V3" s="1" t="s">
        <v>32</v>
      </c>
      <c r="W3" s="1">
        <v>0.77137589999620104</v>
      </c>
      <c r="X3" s="1" t="s">
        <v>33</v>
      </c>
      <c r="Y3" s="1" t="s">
        <v>40</v>
      </c>
      <c r="Z3" s="1">
        <v>1</v>
      </c>
      <c r="AA3" s="1" t="s">
        <v>41</v>
      </c>
      <c r="AB3" s="1" t="s">
        <v>36</v>
      </c>
      <c r="AC3" s="1"/>
      <c r="AD3" s="1" t="s">
        <v>37</v>
      </c>
      <c r="AE3" s="1">
        <v>60.019686456835203</v>
      </c>
      <c r="AF3" s="1" t="s">
        <v>42</v>
      </c>
    </row>
    <row r="4" spans="1:32" x14ac:dyDescent="0.35">
      <c r="A4" s="1">
        <v>11</v>
      </c>
      <c r="B4" s="1">
        <v>30</v>
      </c>
      <c r="C4" s="1">
        <v>7</v>
      </c>
      <c r="D4" s="1">
        <v>2</v>
      </c>
      <c r="E4" s="1">
        <v>2</v>
      </c>
      <c r="F4" s="1">
        <v>0</v>
      </c>
      <c r="G4" s="1" t="s">
        <v>39</v>
      </c>
      <c r="H4" s="1">
        <v>0.75189320000208604</v>
      </c>
      <c r="I4" s="1" t="s">
        <v>33</v>
      </c>
      <c r="J4" s="1">
        <v>0</v>
      </c>
      <c r="K4" s="1">
        <v>2</v>
      </c>
      <c r="L4" s="1">
        <v>2</v>
      </c>
      <c r="M4" s="1">
        <v>0</v>
      </c>
      <c r="N4" s="1">
        <v>5.1254439000040204</v>
      </c>
      <c r="O4" s="1"/>
      <c r="P4" s="1">
        <v>5.1192279000024401</v>
      </c>
      <c r="Q4" s="1">
        <v>5.1254439000040204</v>
      </c>
      <c r="R4" s="1">
        <v>6.1086951000033798</v>
      </c>
      <c r="S4" s="1">
        <v>6.1086951000033798</v>
      </c>
      <c r="T4" s="1">
        <v>6.1254849000033502</v>
      </c>
      <c r="U4" s="1">
        <v>6.8760603000046103</v>
      </c>
      <c r="V4" s="1" t="s">
        <v>39</v>
      </c>
      <c r="W4" s="1">
        <v>0.75189320000208604</v>
      </c>
      <c r="X4" s="1" t="s">
        <v>33</v>
      </c>
      <c r="Y4" s="1" t="s">
        <v>40</v>
      </c>
      <c r="Z4" s="1">
        <v>1</v>
      </c>
      <c r="AA4" s="1" t="s">
        <v>41</v>
      </c>
      <c r="AB4" s="1" t="s">
        <v>36</v>
      </c>
      <c r="AC4" s="1"/>
      <c r="AD4" s="1" t="s">
        <v>37</v>
      </c>
      <c r="AE4" s="1">
        <v>60.019686456835203</v>
      </c>
      <c r="AF4" s="1" t="s">
        <v>42</v>
      </c>
    </row>
    <row r="5" spans="1:32" x14ac:dyDescent="0.35">
      <c r="A5" s="1">
        <v>78</v>
      </c>
      <c r="B5" s="1">
        <v>80</v>
      </c>
      <c r="C5" s="1">
        <v>162</v>
      </c>
      <c r="D5" s="1">
        <v>3</v>
      </c>
      <c r="E5" s="1">
        <v>3</v>
      </c>
      <c r="F5" s="1">
        <v>0</v>
      </c>
      <c r="G5" s="1" t="s">
        <v>32</v>
      </c>
      <c r="H5" s="1">
        <v>0.92274059999908697</v>
      </c>
      <c r="I5" s="1" t="s">
        <v>33</v>
      </c>
      <c r="J5" s="1">
        <v>0</v>
      </c>
      <c r="K5" s="1">
        <v>3</v>
      </c>
      <c r="L5" s="1">
        <v>3</v>
      </c>
      <c r="M5" s="1">
        <v>6</v>
      </c>
      <c r="N5" s="1">
        <v>6.8918753000034396</v>
      </c>
      <c r="O5" s="1"/>
      <c r="P5" s="1">
        <v>6.8841219000023504</v>
      </c>
      <c r="Q5" s="1">
        <v>6.8918753000034396</v>
      </c>
      <c r="R5" s="1">
        <v>7.8752678000018896</v>
      </c>
      <c r="S5" s="1">
        <v>7.8752678000018896</v>
      </c>
      <c r="T5" s="1">
        <v>7.8919373000026098</v>
      </c>
      <c r="U5" s="1">
        <v>8.8096417000051499</v>
      </c>
      <c r="V5" s="1" t="s">
        <v>32</v>
      </c>
      <c r="W5" s="1">
        <v>0.92274059999908697</v>
      </c>
      <c r="X5" s="1" t="s">
        <v>33</v>
      </c>
      <c r="Y5" s="1" t="s">
        <v>40</v>
      </c>
      <c r="Z5" s="1">
        <v>1</v>
      </c>
      <c r="AA5" s="1" t="s">
        <v>41</v>
      </c>
      <c r="AB5" s="1" t="s">
        <v>36</v>
      </c>
      <c r="AC5" s="1"/>
      <c r="AD5" s="1" t="s">
        <v>37</v>
      </c>
      <c r="AE5" s="1">
        <v>60.019686456835203</v>
      </c>
      <c r="AF5" s="1" t="s">
        <v>42</v>
      </c>
    </row>
    <row r="6" spans="1:32" x14ac:dyDescent="0.35">
      <c r="A6" s="1">
        <v>110</v>
      </c>
      <c r="B6" s="1">
        <v>135</v>
      </c>
      <c r="C6" s="1">
        <v>270</v>
      </c>
      <c r="D6" s="1">
        <v>4</v>
      </c>
      <c r="E6" s="1">
        <v>4</v>
      </c>
      <c r="F6" s="1">
        <v>0</v>
      </c>
      <c r="G6" s="1" t="s">
        <v>32</v>
      </c>
      <c r="H6" s="1">
        <v>0.55366599999979305</v>
      </c>
      <c r="I6" s="1" t="s">
        <v>33</v>
      </c>
      <c r="J6" s="1">
        <v>0</v>
      </c>
      <c r="K6" s="1">
        <v>4</v>
      </c>
      <c r="L6" s="1">
        <v>4</v>
      </c>
      <c r="M6" s="1">
        <v>9</v>
      </c>
      <c r="N6" s="1">
        <v>8.8417623999994195</v>
      </c>
      <c r="O6" s="1"/>
      <c r="P6" s="1">
        <v>8.8206044000035</v>
      </c>
      <c r="Q6" s="1">
        <v>8.8417623999994195</v>
      </c>
      <c r="R6" s="1">
        <v>9.8249136000013095</v>
      </c>
      <c r="S6" s="1">
        <v>9.8249136000013095</v>
      </c>
      <c r="T6" s="1">
        <v>9.8415153000023494</v>
      </c>
      <c r="U6" s="1">
        <v>10.3920496999999</v>
      </c>
      <c r="V6" s="1" t="s">
        <v>32</v>
      </c>
      <c r="W6" s="1">
        <v>0.55366599999979305</v>
      </c>
      <c r="X6" s="1" t="s">
        <v>33</v>
      </c>
      <c r="Y6" s="1" t="s">
        <v>40</v>
      </c>
      <c r="Z6" s="1">
        <v>1</v>
      </c>
      <c r="AA6" s="1" t="s">
        <v>41</v>
      </c>
      <c r="AB6" s="1" t="s">
        <v>36</v>
      </c>
      <c r="AC6" s="1"/>
      <c r="AD6" s="1" t="s">
        <v>37</v>
      </c>
      <c r="AE6" s="1">
        <v>60.019686456835203</v>
      </c>
      <c r="AF6" s="1" t="s">
        <v>42</v>
      </c>
    </row>
    <row r="7" spans="1:32" x14ac:dyDescent="0.35">
      <c r="A7" s="1">
        <v>40</v>
      </c>
      <c r="B7" s="1">
        <v>55</v>
      </c>
      <c r="C7" s="1">
        <v>62</v>
      </c>
      <c r="D7" s="1">
        <v>5</v>
      </c>
      <c r="E7" s="1">
        <v>5</v>
      </c>
      <c r="F7" s="1">
        <v>0</v>
      </c>
      <c r="G7" s="1" t="s">
        <v>32</v>
      </c>
      <c r="H7" s="1">
        <v>0.80473750000237398</v>
      </c>
      <c r="I7" s="1" t="s">
        <v>33</v>
      </c>
      <c r="J7" s="1">
        <v>0</v>
      </c>
      <c r="K7" s="1">
        <v>5</v>
      </c>
      <c r="L7" s="1">
        <v>5</v>
      </c>
      <c r="M7" s="1">
        <v>3</v>
      </c>
      <c r="N7" s="1">
        <v>10.4079942000025</v>
      </c>
      <c r="O7" s="1"/>
      <c r="P7" s="1">
        <v>10.4002312000011</v>
      </c>
      <c r="Q7" s="1">
        <v>10.4079942000025</v>
      </c>
      <c r="R7" s="1">
        <v>11.391324600000999</v>
      </c>
      <c r="S7" s="1">
        <v>11.391324600000999</v>
      </c>
      <c r="T7" s="1">
        <v>11.408045600001</v>
      </c>
      <c r="U7" s="1">
        <v>12.2092292000015</v>
      </c>
      <c r="V7" s="1" t="s">
        <v>32</v>
      </c>
      <c r="W7" s="1">
        <v>0.80473750000237398</v>
      </c>
      <c r="X7" s="1" t="s">
        <v>33</v>
      </c>
      <c r="Y7" s="1" t="s">
        <v>40</v>
      </c>
      <c r="Z7" s="1">
        <v>1</v>
      </c>
      <c r="AA7" s="1" t="s">
        <v>41</v>
      </c>
      <c r="AB7" s="1" t="s">
        <v>36</v>
      </c>
      <c r="AC7" s="1"/>
      <c r="AD7" s="1" t="s">
        <v>37</v>
      </c>
      <c r="AE7" s="1">
        <v>60.019686456835203</v>
      </c>
      <c r="AF7" s="1" t="s">
        <v>42</v>
      </c>
    </row>
    <row r="8" spans="1:32" x14ac:dyDescent="0.35">
      <c r="A8" s="1">
        <v>67</v>
      </c>
      <c r="B8" s="1">
        <v>75</v>
      </c>
      <c r="C8" s="1">
        <v>119</v>
      </c>
      <c r="D8" s="1">
        <v>6</v>
      </c>
      <c r="E8" s="1">
        <v>6</v>
      </c>
      <c r="F8" s="1">
        <v>0</v>
      </c>
      <c r="G8" s="1" t="s">
        <v>32</v>
      </c>
      <c r="H8" s="1">
        <v>0.55558310000196798</v>
      </c>
      <c r="I8" s="1" t="s">
        <v>33</v>
      </c>
      <c r="J8" s="1">
        <v>0</v>
      </c>
      <c r="K8" s="1">
        <v>6</v>
      </c>
      <c r="L8" s="1">
        <v>6</v>
      </c>
      <c r="M8" s="1">
        <v>5</v>
      </c>
      <c r="N8" s="1">
        <v>12.2243304000003</v>
      </c>
      <c r="O8" s="1"/>
      <c r="P8" s="1">
        <v>12.2157202000016</v>
      </c>
      <c r="Q8" s="1">
        <v>12.2243304000003</v>
      </c>
      <c r="R8" s="1">
        <v>13.224697600002401</v>
      </c>
      <c r="S8" s="1">
        <v>13.224697600002401</v>
      </c>
      <c r="T8" s="1">
        <v>13.224697600002401</v>
      </c>
      <c r="U8" s="1">
        <v>13.7916002000056</v>
      </c>
      <c r="V8" s="1" t="s">
        <v>32</v>
      </c>
      <c r="W8" s="1">
        <v>0.55558310000196798</v>
      </c>
      <c r="X8" s="1" t="s">
        <v>33</v>
      </c>
      <c r="Y8" s="1" t="s">
        <v>40</v>
      </c>
      <c r="Z8" s="1">
        <v>1</v>
      </c>
      <c r="AA8" s="1" t="s">
        <v>41</v>
      </c>
      <c r="AB8" s="1" t="s">
        <v>36</v>
      </c>
      <c r="AC8" s="1"/>
      <c r="AD8" s="1" t="s">
        <v>37</v>
      </c>
      <c r="AE8" s="1">
        <v>60.019686456835203</v>
      </c>
      <c r="AF8" s="1" t="s">
        <v>42</v>
      </c>
    </row>
    <row r="9" spans="1:32" x14ac:dyDescent="0.35">
      <c r="A9" s="1">
        <v>15</v>
      </c>
      <c r="B9" s="1">
        <v>35</v>
      </c>
      <c r="C9" s="1">
        <v>13</v>
      </c>
      <c r="D9" s="1">
        <v>7</v>
      </c>
      <c r="E9" s="1">
        <v>7</v>
      </c>
      <c r="F9" s="1">
        <v>0</v>
      </c>
      <c r="G9" s="1" t="s">
        <v>32</v>
      </c>
      <c r="H9" s="1">
        <v>0.50504050000017697</v>
      </c>
      <c r="I9" s="1" t="s">
        <v>33</v>
      </c>
      <c r="J9" s="1">
        <v>0</v>
      </c>
      <c r="K9" s="1">
        <v>7</v>
      </c>
      <c r="L9" s="1">
        <v>7</v>
      </c>
      <c r="M9" s="1">
        <v>1</v>
      </c>
      <c r="N9" s="1">
        <v>13.807684100000101</v>
      </c>
      <c r="O9" s="1"/>
      <c r="P9" s="1">
        <v>13.797431200000499</v>
      </c>
      <c r="Q9" s="1">
        <v>13.807684100000101</v>
      </c>
      <c r="R9" s="1">
        <v>14.790866499999501</v>
      </c>
      <c r="S9" s="1">
        <v>14.790866499999501</v>
      </c>
      <c r="T9" s="1">
        <v>14.807528800003601</v>
      </c>
      <c r="U9" s="1">
        <v>15.3079701000024</v>
      </c>
      <c r="V9" s="1" t="s">
        <v>32</v>
      </c>
      <c r="W9" s="1">
        <v>0.50504050000017697</v>
      </c>
      <c r="X9" s="1" t="s">
        <v>33</v>
      </c>
      <c r="Y9" s="1" t="s">
        <v>40</v>
      </c>
      <c r="Z9" s="1">
        <v>1</v>
      </c>
      <c r="AA9" s="1" t="s">
        <v>41</v>
      </c>
      <c r="AB9" s="1" t="s">
        <v>36</v>
      </c>
      <c r="AC9" s="1"/>
      <c r="AD9" s="1" t="s">
        <v>37</v>
      </c>
      <c r="AE9" s="1">
        <v>60.019686456835203</v>
      </c>
      <c r="AF9" s="1" t="s">
        <v>42</v>
      </c>
    </row>
    <row r="10" spans="1:32" x14ac:dyDescent="0.35">
      <c r="A10" s="1">
        <v>49</v>
      </c>
      <c r="B10" s="1">
        <v>60</v>
      </c>
      <c r="C10" s="1">
        <v>89</v>
      </c>
      <c r="D10" s="1">
        <v>8</v>
      </c>
      <c r="E10" s="1">
        <v>8</v>
      </c>
      <c r="F10" s="1">
        <v>0</v>
      </c>
      <c r="G10" s="1" t="s">
        <v>32</v>
      </c>
      <c r="H10" s="1">
        <v>2.8443750000005799</v>
      </c>
      <c r="I10" s="1" t="s">
        <v>33</v>
      </c>
      <c r="J10" s="1">
        <v>0</v>
      </c>
      <c r="K10" s="1">
        <v>8</v>
      </c>
      <c r="L10" s="1">
        <v>8</v>
      </c>
      <c r="M10" s="1">
        <v>4</v>
      </c>
      <c r="N10" s="1">
        <v>15.3242133000021</v>
      </c>
      <c r="O10" s="1"/>
      <c r="P10" s="1">
        <v>15.3158041999995</v>
      </c>
      <c r="Q10" s="1">
        <v>15.3242133000021</v>
      </c>
      <c r="R10" s="1">
        <v>16.307394499999599</v>
      </c>
      <c r="S10" s="1">
        <v>16.307394499999599</v>
      </c>
      <c r="T10" s="1">
        <v>16.324179700000901</v>
      </c>
      <c r="U10" s="1">
        <v>19.157272300006198</v>
      </c>
      <c r="V10" s="1" t="s">
        <v>32</v>
      </c>
      <c r="W10" s="1">
        <v>2.8443750000005799</v>
      </c>
      <c r="X10" s="1" t="s">
        <v>33</v>
      </c>
      <c r="Y10" s="1" t="s">
        <v>40</v>
      </c>
      <c r="Z10" s="1">
        <v>1</v>
      </c>
      <c r="AA10" s="1" t="s">
        <v>41</v>
      </c>
      <c r="AB10" s="1" t="s">
        <v>36</v>
      </c>
      <c r="AC10" s="1"/>
      <c r="AD10" s="1" t="s">
        <v>37</v>
      </c>
      <c r="AE10" s="1">
        <v>60.019686456835203</v>
      </c>
      <c r="AF10" s="1" t="s">
        <v>42</v>
      </c>
    </row>
    <row r="11" spans="1:32" x14ac:dyDescent="0.35">
      <c r="A11" s="1">
        <v>27</v>
      </c>
      <c r="B11" s="1">
        <v>50</v>
      </c>
      <c r="C11" s="1">
        <v>21</v>
      </c>
      <c r="D11" s="1">
        <v>9</v>
      </c>
      <c r="E11" s="1">
        <v>9</v>
      </c>
      <c r="F11" s="1">
        <v>0</v>
      </c>
      <c r="G11" s="1" t="s">
        <v>32</v>
      </c>
      <c r="H11" s="1">
        <v>2.7383915999962398</v>
      </c>
      <c r="I11" s="1" t="s">
        <v>33</v>
      </c>
      <c r="J11" s="1">
        <v>0</v>
      </c>
      <c r="K11" s="1">
        <v>9</v>
      </c>
      <c r="L11" s="1">
        <v>9</v>
      </c>
      <c r="M11" s="1">
        <v>2</v>
      </c>
      <c r="N11" s="1">
        <v>19.173729300004101</v>
      </c>
      <c r="O11" s="1"/>
      <c r="P11" s="1">
        <v>19.163024699999301</v>
      </c>
      <c r="Q11" s="1">
        <v>19.173729300004101</v>
      </c>
      <c r="R11" s="1">
        <v>20.156934400001699</v>
      </c>
      <c r="S11" s="1">
        <v>20.156934400001699</v>
      </c>
      <c r="T11" s="1">
        <v>20.173558200003701</v>
      </c>
      <c r="U11" s="1">
        <v>22.9071135000049</v>
      </c>
      <c r="V11" s="1" t="s">
        <v>32</v>
      </c>
      <c r="W11" s="1">
        <v>2.7383915999962398</v>
      </c>
      <c r="X11" s="1" t="s">
        <v>33</v>
      </c>
      <c r="Y11" s="1" t="s">
        <v>40</v>
      </c>
      <c r="Z11" s="1">
        <v>1</v>
      </c>
      <c r="AA11" s="1" t="s">
        <v>41</v>
      </c>
      <c r="AB11" s="1" t="s">
        <v>36</v>
      </c>
      <c r="AC11" s="1"/>
      <c r="AD11" s="1" t="s">
        <v>37</v>
      </c>
      <c r="AE11" s="1">
        <v>60.019686456835203</v>
      </c>
      <c r="AF11" s="1" t="s">
        <v>42</v>
      </c>
    </row>
    <row r="12" spans="1:32" x14ac:dyDescent="0.35">
      <c r="A12" s="1">
        <v>110</v>
      </c>
      <c r="B12" s="1">
        <v>135</v>
      </c>
      <c r="C12" s="1">
        <v>270</v>
      </c>
      <c r="D12" s="1">
        <v>10</v>
      </c>
      <c r="E12" s="1">
        <v>0</v>
      </c>
      <c r="F12" s="1">
        <v>1</v>
      </c>
      <c r="G12" s="1" t="s">
        <v>32</v>
      </c>
      <c r="H12" s="1">
        <v>0.54999390000011705</v>
      </c>
      <c r="I12" s="1" t="s">
        <v>33</v>
      </c>
      <c r="J12" s="1">
        <v>1</v>
      </c>
      <c r="K12" s="1">
        <v>0</v>
      </c>
      <c r="L12" s="1">
        <v>10</v>
      </c>
      <c r="M12" s="1">
        <v>9</v>
      </c>
      <c r="N12" s="1">
        <v>22.922611800000499</v>
      </c>
      <c r="O12" s="1"/>
      <c r="P12" s="1">
        <v>22.913201900002601</v>
      </c>
      <c r="Q12" s="1">
        <v>22.922611800000499</v>
      </c>
      <c r="R12" s="1">
        <v>23.923395100006001</v>
      </c>
      <c r="S12" s="1">
        <v>23.923395100006001</v>
      </c>
      <c r="T12" s="1">
        <v>23.923395100006001</v>
      </c>
      <c r="U12" s="1">
        <v>24.489729700006102</v>
      </c>
      <c r="V12" s="1" t="s">
        <v>32</v>
      </c>
      <c r="W12" s="1">
        <v>0.54999390000011705</v>
      </c>
      <c r="X12" s="1" t="s">
        <v>33</v>
      </c>
      <c r="Y12" s="1" t="s">
        <v>40</v>
      </c>
      <c r="Z12" s="1">
        <v>1</v>
      </c>
      <c r="AA12" s="1" t="s">
        <v>41</v>
      </c>
      <c r="AB12" s="1" t="s">
        <v>36</v>
      </c>
      <c r="AC12" s="1"/>
      <c r="AD12" s="1" t="s">
        <v>37</v>
      </c>
      <c r="AE12" s="1">
        <v>60.019686456835203</v>
      </c>
      <c r="AF12" s="1" t="s">
        <v>42</v>
      </c>
    </row>
    <row r="13" spans="1:32" x14ac:dyDescent="0.35">
      <c r="A13" s="1">
        <v>27</v>
      </c>
      <c r="B13" s="1">
        <v>50</v>
      </c>
      <c r="C13" s="1">
        <v>21</v>
      </c>
      <c r="D13" s="1">
        <v>11</v>
      </c>
      <c r="E13" s="1">
        <v>1</v>
      </c>
      <c r="F13" s="1">
        <v>1</v>
      </c>
      <c r="G13" s="1" t="s">
        <v>32</v>
      </c>
      <c r="H13" s="1">
        <v>0.67301939999742899</v>
      </c>
      <c r="I13" s="1" t="s">
        <v>33</v>
      </c>
      <c r="J13" s="1">
        <v>1</v>
      </c>
      <c r="K13" s="1">
        <v>1</v>
      </c>
      <c r="L13" s="1">
        <v>11</v>
      </c>
      <c r="M13" s="1">
        <v>2</v>
      </c>
      <c r="N13" s="1">
        <v>24.505798199999798</v>
      </c>
      <c r="O13" s="1"/>
      <c r="P13" s="1">
        <v>24.494263000000501</v>
      </c>
      <c r="Q13" s="1">
        <v>24.505798199999798</v>
      </c>
      <c r="R13" s="1">
        <v>25.489156600000499</v>
      </c>
      <c r="S13" s="1">
        <v>25.489156600000499</v>
      </c>
      <c r="T13" s="1">
        <v>25.505732100005801</v>
      </c>
      <c r="U13" s="1">
        <v>26.172852000003299</v>
      </c>
      <c r="V13" s="1" t="s">
        <v>32</v>
      </c>
      <c r="W13" s="1">
        <v>0.67301939999742899</v>
      </c>
      <c r="X13" s="1" t="s">
        <v>33</v>
      </c>
      <c r="Y13" s="1" t="s">
        <v>40</v>
      </c>
      <c r="Z13" s="1">
        <v>1</v>
      </c>
      <c r="AA13" s="1" t="s">
        <v>41</v>
      </c>
      <c r="AB13" s="1" t="s">
        <v>36</v>
      </c>
      <c r="AC13" s="1"/>
      <c r="AD13" s="1" t="s">
        <v>37</v>
      </c>
      <c r="AE13" s="1">
        <v>60.019686456835203</v>
      </c>
      <c r="AF13" s="1" t="s">
        <v>42</v>
      </c>
    </row>
    <row r="14" spans="1:32" x14ac:dyDescent="0.35">
      <c r="A14" s="1">
        <v>98</v>
      </c>
      <c r="B14" s="1">
        <v>120</v>
      </c>
      <c r="C14" s="1">
        <v>230</v>
      </c>
      <c r="D14" s="1">
        <v>12</v>
      </c>
      <c r="E14" s="1">
        <v>2</v>
      </c>
      <c r="F14" s="1">
        <v>1</v>
      </c>
      <c r="G14" s="1" t="s">
        <v>32</v>
      </c>
      <c r="H14" s="1">
        <v>3.4673677999962802</v>
      </c>
      <c r="I14" s="1" t="s">
        <v>33</v>
      </c>
      <c r="J14" s="1">
        <v>1</v>
      </c>
      <c r="K14" s="1">
        <v>2</v>
      </c>
      <c r="L14" s="1">
        <v>12</v>
      </c>
      <c r="M14" s="1">
        <v>8</v>
      </c>
      <c r="N14" s="1">
        <v>26.1888624999992</v>
      </c>
      <c r="O14" s="1"/>
      <c r="P14" s="1">
        <v>26.179915799999399</v>
      </c>
      <c r="Q14" s="1">
        <v>26.1888624999992</v>
      </c>
      <c r="R14" s="1">
        <v>27.172085400001301</v>
      </c>
      <c r="S14" s="1">
        <v>27.172085400001301</v>
      </c>
      <c r="T14" s="1">
        <v>27.188704700005399</v>
      </c>
      <c r="U14" s="1">
        <v>30.6554622000039</v>
      </c>
      <c r="V14" s="1" t="s">
        <v>32</v>
      </c>
      <c r="W14" s="1">
        <v>3.4673677999962802</v>
      </c>
      <c r="X14" s="1" t="s">
        <v>33</v>
      </c>
      <c r="Y14" s="1" t="s">
        <v>40</v>
      </c>
      <c r="Z14" s="1">
        <v>1</v>
      </c>
      <c r="AA14" s="1" t="s">
        <v>41</v>
      </c>
      <c r="AB14" s="1" t="s">
        <v>36</v>
      </c>
      <c r="AC14" s="1"/>
      <c r="AD14" s="1" t="s">
        <v>37</v>
      </c>
      <c r="AE14" s="1">
        <v>60.019686456835203</v>
      </c>
      <c r="AF14" s="1" t="s">
        <v>42</v>
      </c>
    </row>
    <row r="15" spans="1:32" x14ac:dyDescent="0.35">
      <c r="A15" s="1">
        <v>49</v>
      </c>
      <c r="B15" s="1">
        <v>60</v>
      </c>
      <c r="C15" s="1">
        <v>89</v>
      </c>
      <c r="D15" s="1">
        <v>13</v>
      </c>
      <c r="E15" s="1">
        <v>3</v>
      </c>
      <c r="F15" s="1">
        <v>1</v>
      </c>
      <c r="G15" s="1" t="s">
        <v>32</v>
      </c>
      <c r="H15" s="1">
        <v>3.3333656999966399</v>
      </c>
      <c r="I15" s="1" t="s">
        <v>33</v>
      </c>
      <c r="J15" s="1">
        <v>1</v>
      </c>
      <c r="K15" s="1">
        <v>3</v>
      </c>
      <c r="L15" s="1">
        <v>13</v>
      </c>
      <c r="M15" s="1">
        <v>4</v>
      </c>
      <c r="N15" s="1">
        <v>30.671489899999798</v>
      </c>
      <c r="O15" s="1"/>
      <c r="P15" s="1">
        <v>30.663052100004201</v>
      </c>
      <c r="Q15" s="1">
        <v>30.671489899999798</v>
      </c>
      <c r="R15" s="1">
        <v>31.654936700004299</v>
      </c>
      <c r="S15" s="1">
        <v>31.654936700004299</v>
      </c>
      <c r="T15" s="1">
        <v>31.6712848000024</v>
      </c>
      <c r="U15" s="1">
        <v>35.0049094999994</v>
      </c>
      <c r="V15" s="1" t="s">
        <v>32</v>
      </c>
      <c r="W15" s="1">
        <v>3.3333656999966399</v>
      </c>
      <c r="X15" s="1" t="s">
        <v>33</v>
      </c>
      <c r="Y15" s="1" t="s">
        <v>40</v>
      </c>
      <c r="Z15" s="1">
        <v>1</v>
      </c>
      <c r="AA15" s="1" t="s">
        <v>41</v>
      </c>
      <c r="AB15" s="1" t="s">
        <v>36</v>
      </c>
      <c r="AC15" s="1"/>
      <c r="AD15" s="1" t="s">
        <v>37</v>
      </c>
      <c r="AE15" s="1">
        <v>60.019686456835203</v>
      </c>
      <c r="AF15" s="1" t="s">
        <v>42</v>
      </c>
    </row>
    <row r="16" spans="1:32" x14ac:dyDescent="0.35">
      <c r="A16" s="1">
        <v>78</v>
      </c>
      <c r="B16" s="1">
        <v>80</v>
      </c>
      <c r="C16" s="1">
        <v>162</v>
      </c>
      <c r="D16" s="1">
        <v>14</v>
      </c>
      <c r="E16" s="1">
        <v>4</v>
      </c>
      <c r="F16" s="1">
        <v>1</v>
      </c>
      <c r="G16" s="1" t="s">
        <v>32</v>
      </c>
      <c r="H16" s="1">
        <v>1.49548649999633</v>
      </c>
      <c r="I16" s="1" t="s">
        <v>33</v>
      </c>
      <c r="J16" s="1">
        <v>1</v>
      </c>
      <c r="K16" s="1">
        <v>4</v>
      </c>
      <c r="L16" s="1">
        <v>14</v>
      </c>
      <c r="M16" s="1">
        <v>6</v>
      </c>
      <c r="N16" s="1">
        <v>35.020667700002299</v>
      </c>
      <c r="O16" s="1"/>
      <c r="P16" s="1">
        <v>35.011503800000298</v>
      </c>
      <c r="Q16" s="1">
        <v>35.020667700002299</v>
      </c>
      <c r="R16" s="1">
        <v>36.020662900002201</v>
      </c>
      <c r="S16" s="1">
        <v>36.020662900002201</v>
      </c>
      <c r="T16" s="1">
        <v>36.020662900002201</v>
      </c>
      <c r="U16" s="1">
        <v>37.520985499999298</v>
      </c>
      <c r="V16" s="1" t="s">
        <v>32</v>
      </c>
      <c r="W16" s="1">
        <v>1.49548649999633</v>
      </c>
      <c r="X16" s="1" t="s">
        <v>33</v>
      </c>
      <c r="Y16" s="1" t="s">
        <v>40</v>
      </c>
      <c r="Z16" s="1">
        <v>1</v>
      </c>
      <c r="AA16" s="1" t="s">
        <v>41</v>
      </c>
      <c r="AB16" s="1" t="s">
        <v>36</v>
      </c>
      <c r="AC16" s="1"/>
      <c r="AD16" s="1" t="s">
        <v>37</v>
      </c>
      <c r="AE16" s="1">
        <v>60.019686456835203</v>
      </c>
      <c r="AF16" s="1" t="s">
        <v>42</v>
      </c>
    </row>
    <row r="17" spans="1:32" x14ac:dyDescent="0.35">
      <c r="A17" s="1">
        <v>11</v>
      </c>
      <c r="B17" s="1">
        <v>30</v>
      </c>
      <c r="C17" s="1">
        <v>7</v>
      </c>
      <c r="D17" s="1">
        <v>15</v>
      </c>
      <c r="E17" s="1">
        <v>5</v>
      </c>
      <c r="F17" s="1">
        <v>1</v>
      </c>
      <c r="G17" s="1" t="s">
        <v>39</v>
      </c>
      <c r="H17" s="1">
        <v>0.98284300000523195</v>
      </c>
      <c r="I17" s="1" t="s">
        <v>33</v>
      </c>
      <c r="J17" s="1">
        <v>1</v>
      </c>
      <c r="K17" s="1">
        <v>5</v>
      </c>
      <c r="L17" s="1">
        <v>15</v>
      </c>
      <c r="M17" s="1">
        <v>0</v>
      </c>
      <c r="N17" s="1">
        <v>37.537863400000703</v>
      </c>
      <c r="O17" s="1"/>
      <c r="P17" s="1">
        <v>37.526508100003397</v>
      </c>
      <c r="Q17" s="1">
        <v>37.537863400000703</v>
      </c>
      <c r="R17" s="1">
        <v>38.520901300005697</v>
      </c>
      <c r="S17" s="1">
        <v>38.520901300005697</v>
      </c>
      <c r="T17" s="1">
        <v>38.537736000005602</v>
      </c>
      <c r="U17" s="1">
        <v>39.521646900000597</v>
      </c>
      <c r="V17" s="1" t="s">
        <v>39</v>
      </c>
      <c r="W17" s="1">
        <v>0.98284300000523195</v>
      </c>
      <c r="X17" s="1" t="s">
        <v>33</v>
      </c>
      <c r="Y17" s="1" t="s">
        <v>40</v>
      </c>
      <c r="Z17" s="1">
        <v>1</v>
      </c>
      <c r="AA17" s="1" t="s">
        <v>41</v>
      </c>
      <c r="AB17" s="1" t="s">
        <v>36</v>
      </c>
      <c r="AC17" s="1"/>
      <c r="AD17" s="1" t="s">
        <v>37</v>
      </c>
      <c r="AE17" s="1">
        <v>60.019686456835203</v>
      </c>
      <c r="AF17" s="1" t="s">
        <v>42</v>
      </c>
    </row>
    <row r="18" spans="1:32" x14ac:dyDescent="0.35">
      <c r="A18" s="1">
        <v>15</v>
      </c>
      <c r="B18" s="1">
        <v>35</v>
      </c>
      <c r="C18" s="1">
        <v>13</v>
      </c>
      <c r="D18" s="1">
        <v>16</v>
      </c>
      <c r="E18" s="1">
        <v>6</v>
      </c>
      <c r="F18" s="1">
        <v>1</v>
      </c>
      <c r="G18" s="1" t="s">
        <v>39</v>
      </c>
      <c r="H18" s="1">
        <v>1.12899850000394</v>
      </c>
      <c r="I18" s="1" t="s">
        <v>33</v>
      </c>
      <c r="J18" s="1">
        <v>1</v>
      </c>
      <c r="K18" s="1">
        <v>6</v>
      </c>
      <c r="L18" s="1">
        <v>16</v>
      </c>
      <c r="M18" s="1">
        <v>1</v>
      </c>
      <c r="N18" s="1">
        <v>39.537131500001102</v>
      </c>
      <c r="O18" s="1"/>
      <c r="P18" s="1">
        <v>39.527255200002401</v>
      </c>
      <c r="Q18" s="1">
        <v>39.537131500001102</v>
      </c>
      <c r="R18" s="1">
        <v>40.536921500002698</v>
      </c>
      <c r="S18" s="1">
        <v>40.536921500002698</v>
      </c>
      <c r="T18" s="1">
        <v>40.536921500002698</v>
      </c>
      <c r="U18" s="1">
        <v>41.670535700002802</v>
      </c>
      <c r="V18" s="1" t="s">
        <v>39</v>
      </c>
      <c r="W18" s="1">
        <v>1.12899850000394</v>
      </c>
      <c r="X18" s="1" t="s">
        <v>33</v>
      </c>
      <c r="Y18" s="1" t="s">
        <v>40</v>
      </c>
      <c r="Z18" s="1">
        <v>1</v>
      </c>
      <c r="AA18" s="1" t="s">
        <v>41</v>
      </c>
      <c r="AB18" s="1" t="s">
        <v>36</v>
      </c>
      <c r="AC18" s="1"/>
      <c r="AD18" s="1" t="s">
        <v>37</v>
      </c>
      <c r="AE18" s="1">
        <v>60.019686456835203</v>
      </c>
      <c r="AF18" s="1" t="s">
        <v>42</v>
      </c>
    </row>
    <row r="19" spans="1:32" x14ac:dyDescent="0.35">
      <c r="A19" s="1">
        <v>40</v>
      </c>
      <c r="B19" s="1">
        <v>55</v>
      </c>
      <c r="C19" s="1">
        <v>62</v>
      </c>
      <c r="D19" s="1">
        <v>17</v>
      </c>
      <c r="E19" s="1">
        <v>7</v>
      </c>
      <c r="F19" s="1">
        <v>1</v>
      </c>
      <c r="G19" s="1" t="s">
        <v>32</v>
      </c>
      <c r="H19" s="1">
        <v>0.75146749999839801</v>
      </c>
      <c r="I19" s="1" t="s">
        <v>33</v>
      </c>
      <c r="J19" s="1">
        <v>1</v>
      </c>
      <c r="K19" s="1">
        <v>7</v>
      </c>
      <c r="L19" s="1">
        <v>17</v>
      </c>
      <c r="M19" s="1">
        <v>3</v>
      </c>
      <c r="N19" s="1">
        <v>41.686374200005901</v>
      </c>
      <c r="O19" s="1"/>
      <c r="P19" s="1">
        <v>41.6783221000005</v>
      </c>
      <c r="Q19" s="1">
        <v>41.686374200005901</v>
      </c>
      <c r="R19" s="1">
        <v>42.686268600002201</v>
      </c>
      <c r="S19" s="1">
        <v>42.686268600002201</v>
      </c>
      <c r="T19" s="1">
        <v>42.686268600002201</v>
      </c>
      <c r="U19" s="1">
        <v>43.453494699999197</v>
      </c>
      <c r="V19" s="1" t="s">
        <v>32</v>
      </c>
      <c r="W19" s="1">
        <v>0.75146749999839801</v>
      </c>
      <c r="X19" s="1" t="s">
        <v>33</v>
      </c>
      <c r="Y19" s="1" t="s">
        <v>40</v>
      </c>
      <c r="Z19" s="1">
        <v>1</v>
      </c>
      <c r="AA19" s="1" t="s">
        <v>41</v>
      </c>
      <c r="AB19" s="1" t="s">
        <v>36</v>
      </c>
      <c r="AC19" s="1"/>
      <c r="AD19" s="1" t="s">
        <v>37</v>
      </c>
      <c r="AE19" s="1">
        <v>60.019686456835203</v>
      </c>
      <c r="AF19" s="1" t="s">
        <v>42</v>
      </c>
    </row>
    <row r="20" spans="1:32" x14ac:dyDescent="0.35">
      <c r="A20" s="1">
        <v>67</v>
      </c>
      <c r="B20" s="1">
        <v>75</v>
      </c>
      <c r="C20" s="1">
        <v>119</v>
      </c>
      <c r="D20" s="1">
        <v>18</v>
      </c>
      <c r="E20" s="1">
        <v>8</v>
      </c>
      <c r="F20" s="1">
        <v>1</v>
      </c>
      <c r="G20" s="1" t="s">
        <v>32</v>
      </c>
      <c r="H20" s="1">
        <v>0.61845529999845805</v>
      </c>
      <c r="I20" s="1" t="s">
        <v>33</v>
      </c>
      <c r="J20" s="1">
        <v>1</v>
      </c>
      <c r="K20" s="1">
        <v>8</v>
      </c>
      <c r="L20" s="1">
        <v>18</v>
      </c>
      <c r="M20" s="1">
        <v>5</v>
      </c>
      <c r="N20" s="1">
        <v>43.469194500001301</v>
      </c>
      <c r="O20" s="1"/>
      <c r="P20" s="1">
        <v>43.459758000004499</v>
      </c>
      <c r="Q20" s="1">
        <v>43.469194500001301</v>
      </c>
      <c r="R20" s="1">
        <v>44.469919100003601</v>
      </c>
      <c r="S20" s="1">
        <v>44.469919100003601</v>
      </c>
      <c r="T20" s="1">
        <v>44.469919100003601</v>
      </c>
      <c r="U20" s="1">
        <v>45.103105400004999</v>
      </c>
      <c r="V20" s="1" t="s">
        <v>32</v>
      </c>
      <c r="W20" s="1">
        <v>0.61845529999845805</v>
      </c>
      <c r="X20" s="1" t="s">
        <v>33</v>
      </c>
      <c r="Y20" s="1" t="s">
        <v>40</v>
      </c>
      <c r="Z20" s="1">
        <v>1</v>
      </c>
      <c r="AA20" s="1" t="s">
        <v>41</v>
      </c>
      <c r="AB20" s="1" t="s">
        <v>36</v>
      </c>
      <c r="AC20" s="1"/>
      <c r="AD20" s="1" t="s">
        <v>37</v>
      </c>
      <c r="AE20" s="1">
        <v>60.019686456835203</v>
      </c>
      <c r="AF20" s="1" t="s">
        <v>42</v>
      </c>
    </row>
    <row r="21" spans="1:32" x14ac:dyDescent="0.35">
      <c r="A21" s="1">
        <v>88</v>
      </c>
      <c r="B21" s="1">
        <v>105</v>
      </c>
      <c r="C21" s="1">
        <v>200</v>
      </c>
      <c r="D21" s="1">
        <v>19</v>
      </c>
      <c r="E21" s="1">
        <v>9</v>
      </c>
      <c r="F21" s="1">
        <v>1</v>
      </c>
      <c r="G21" s="1" t="s">
        <v>32</v>
      </c>
      <c r="H21" s="1">
        <v>1.3220247999997801</v>
      </c>
      <c r="I21" s="1" t="s">
        <v>33</v>
      </c>
      <c r="J21" s="1">
        <v>1</v>
      </c>
      <c r="K21" s="1">
        <v>9</v>
      </c>
      <c r="L21" s="1">
        <v>19</v>
      </c>
      <c r="M21" s="1">
        <v>7</v>
      </c>
      <c r="N21" s="1">
        <v>45.119000800004798</v>
      </c>
      <c r="O21" s="1"/>
      <c r="P21" s="1">
        <v>45.1088331999999</v>
      </c>
      <c r="Q21" s="1">
        <v>45.119000800004798</v>
      </c>
      <c r="R21" s="1">
        <v>46.102309300003903</v>
      </c>
      <c r="S21" s="1">
        <v>46.102309300003903</v>
      </c>
      <c r="T21" s="1">
        <v>46.119112899999799</v>
      </c>
      <c r="U21" s="1">
        <v>47.436754500005897</v>
      </c>
      <c r="V21" s="1" t="s">
        <v>32</v>
      </c>
      <c r="W21" s="1">
        <v>1.3220247999997801</v>
      </c>
      <c r="X21" s="1" t="s">
        <v>33</v>
      </c>
      <c r="Y21" s="1" t="s">
        <v>40</v>
      </c>
      <c r="Z21" s="1">
        <v>1</v>
      </c>
      <c r="AA21" s="1" t="s">
        <v>41</v>
      </c>
      <c r="AB21" s="1" t="s">
        <v>36</v>
      </c>
      <c r="AC21" s="1"/>
      <c r="AD21" s="1" t="s">
        <v>37</v>
      </c>
      <c r="AE21" s="1">
        <v>60.019686456835203</v>
      </c>
      <c r="AF21" s="1" t="s">
        <v>42</v>
      </c>
    </row>
    <row r="22" spans="1:32" x14ac:dyDescent="0.35">
      <c r="A22" s="1">
        <v>88</v>
      </c>
      <c r="B22" s="1">
        <v>105</v>
      </c>
      <c r="C22" s="1">
        <v>200</v>
      </c>
      <c r="D22" s="1">
        <v>20</v>
      </c>
      <c r="E22" s="1">
        <v>0</v>
      </c>
      <c r="F22" s="1">
        <v>2</v>
      </c>
      <c r="G22" s="1" t="s">
        <v>32</v>
      </c>
      <c r="H22" s="1">
        <v>3.6219901000003998</v>
      </c>
      <c r="I22" s="1" t="s">
        <v>33</v>
      </c>
      <c r="J22" s="1">
        <v>2</v>
      </c>
      <c r="K22" s="1">
        <v>0</v>
      </c>
      <c r="L22" s="1">
        <v>20</v>
      </c>
      <c r="M22" s="1">
        <v>7</v>
      </c>
      <c r="N22" s="1">
        <v>47.452782100001002</v>
      </c>
      <c r="O22" s="1"/>
      <c r="P22" s="1">
        <v>47.437372200001803</v>
      </c>
      <c r="Q22" s="1">
        <v>47.452782100001002</v>
      </c>
      <c r="R22" s="1">
        <v>48.451953100004097</v>
      </c>
      <c r="S22" s="1">
        <v>48.451953100004097</v>
      </c>
      <c r="T22" s="1">
        <v>48.451953100004097</v>
      </c>
      <c r="U22" s="1">
        <v>52.085222400004497</v>
      </c>
      <c r="V22" s="1" t="s">
        <v>32</v>
      </c>
      <c r="W22" s="1">
        <v>3.6219901000003998</v>
      </c>
      <c r="X22" s="1" t="s">
        <v>33</v>
      </c>
      <c r="Y22" s="1" t="s">
        <v>40</v>
      </c>
      <c r="Z22" s="1">
        <v>1</v>
      </c>
      <c r="AA22" s="1" t="s">
        <v>41</v>
      </c>
      <c r="AB22" s="1" t="s">
        <v>36</v>
      </c>
      <c r="AC22" s="1"/>
      <c r="AD22" s="1" t="s">
        <v>37</v>
      </c>
      <c r="AE22" s="1">
        <v>60.019686456835203</v>
      </c>
      <c r="AF22" s="1" t="s">
        <v>42</v>
      </c>
    </row>
    <row r="23" spans="1:32" x14ac:dyDescent="0.35">
      <c r="A23" s="1">
        <v>78</v>
      </c>
      <c r="B23" s="1">
        <v>80</v>
      </c>
      <c r="C23" s="1">
        <v>162</v>
      </c>
      <c r="D23" s="1">
        <v>21</v>
      </c>
      <c r="E23" s="1">
        <v>1</v>
      </c>
      <c r="F23" s="1">
        <v>2</v>
      </c>
      <c r="G23" s="1" t="s">
        <v>32</v>
      </c>
      <c r="H23" s="1">
        <v>3.9288741999989698</v>
      </c>
      <c r="I23" s="1" t="s">
        <v>33</v>
      </c>
      <c r="J23" s="1">
        <v>2</v>
      </c>
      <c r="K23" s="1">
        <v>1</v>
      </c>
      <c r="L23" s="1">
        <v>21</v>
      </c>
      <c r="M23" s="1">
        <v>6</v>
      </c>
      <c r="N23" s="1">
        <v>52.1011737000008</v>
      </c>
      <c r="O23" s="1"/>
      <c r="P23" s="1">
        <v>52.0912926000019</v>
      </c>
      <c r="Q23" s="1">
        <v>52.1011737000008</v>
      </c>
      <c r="R23" s="1">
        <v>53.084394600002199</v>
      </c>
      <c r="S23" s="1">
        <v>53.084394600002199</v>
      </c>
      <c r="T23" s="1">
        <v>53.101854000000401</v>
      </c>
      <c r="U23" s="1">
        <v>57.0177986000053</v>
      </c>
      <c r="V23" s="1" t="s">
        <v>32</v>
      </c>
      <c r="W23" s="1">
        <v>3.9288741999989698</v>
      </c>
      <c r="X23" s="1" t="s">
        <v>33</v>
      </c>
      <c r="Y23" s="1" t="s">
        <v>40</v>
      </c>
      <c r="Z23" s="1">
        <v>1</v>
      </c>
      <c r="AA23" s="1" t="s">
        <v>41</v>
      </c>
      <c r="AB23" s="1" t="s">
        <v>36</v>
      </c>
      <c r="AC23" s="1"/>
      <c r="AD23" s="1" t="s">
        <v>37</v>
      </c>
      <c r="AE23" s="1">
        <v>60.019686456835203</v>
      </c>
      <c r="AF23" s="1" t="s">
        <v>42</v>
      </c>
    </row>
    <row r="24" spans="1:32" x14ac:dyDescent="0.35">
      <c r="A24" s="1">
        <v>110</v>
      </c>
      <c r="B24" s="1">
        <v>135</v>
      </c>
      <c r="C24" s="1">
        <v>270</v>
      </c>
      <c r="D24" s="1">
        <v>22</v>
      </c>
      <c r="E24" s="1">
        <v>2</v>
      </c>
      <c r="F24" s="1">
        <v>2</v>
      </c>
      <c r="G24" s="1" t="s">
        <v>32</v>
      </c>
      <c r="H24" s="1">
        <v>0.89779850000195405</v>
      </c>
      <c r="I24" s="1" t="s">
        <v>33</v>
      </c>
      <c r="J24" s="1">
        <v>2</v>
      </c>
      <c r="K24" s="1">
        <v>2</v>
      </c>
      <c r="L24" s="1">
        <v>22</v>
      </c>
      <c r="M24" s="1">
        <v>9</v>
      </c>
      <c r="N24" s="1">
        <v>57.033590700004403</v>
      </c>
      <c r="O24" s="1"/>
      <c r="P24" s="1">
        <v>57.0258717000033</v>
      </c>
      <c r="Q24" s="1">
        <v>57.033590700004403</v>
      </c>
      <c r="R24" s="1">
        <v>58.016813000002003</v>
      </c>
      <c r="S24" s="1">
        <v>58.016813000002003</v>
      </c>
      <c r="T24" s="1">
        <v>58.0335440000053</v>
      </c>
      <c r="U24" s="1">
        <v>58.917474100002401</v>
      </c>
      <c r="V24" s="1" t="s">
        <v>32</v>
      </c>
      <c r="W24" s="1">
        <v>0.89779850000195405</v>
      </c>
      <c r="X24" s="1" t="s">
        <v>33</v>
      </c>
      <c r="Y24" s="1" t="s">
        <v>40</v>
      </c>
      <c r="Z24" s="1">
        <v>1</v>
      </c>
      <c r="AA24" s="1" t="s">
        <v>41</v>
      </c>
      <c r="AB24" s="1" t="s">
        <v>36</v>
      </c>
      <c r="AC24" s="1"/>
      <c r="AD24" s="1" t="s">
        <v>37</v>
      </c>
      <c r="AE24" s="1">
        <v>60.019686456835203</v>
      </c>
      <c r="AF24" s="1" t="s">
        <v>42</v>
      </c>
    </row>
    <row r="25" spans="1:32" x14ac:dyDescent="0.35">
      <c r="A25" s="1">
        <v>27</v>
      </c>
      <c r="B25" s="1">
        <v>50</v>
      </c>
      <c r="C25" s="1">
        <v>21</v>
      </c>
      <c r="D25" s="1">
        <v>23</v>
      </c>
      <c r="E25" s="1">
        <v>3</v>
      </c>
      <c r="F25" s="1">
        <v>2</v>
      </c>
      <c r="G25" s="1" t="s">
        <v>32</v>
      </c>
      <c r="H25" s="1">
        <v>0.71925470000132896</v>
      </c>
      <c r="I25" s="1" t="s">
        <v>33</v>
      </c>
      <c r="J25" s="1">
        <v>2</v>
      </c>
      <c r="K25" s="1">
        <v>3</v>
      </c>
      <c r="L25" s="1">
        <v>23</v>
      </c>
      <c r="M25" s="1">
        <v>2</v>
      </c>
      <c r="N25" s="1">
        <v>58.933489300005</v>
      </c>
      <c r="O25" s="1"/>
      <c r="P25" s="1">
        <v>58.921890500001602</v>
      </c>
      <c r="Q25" s="1">
        <v>58.933489300005</v>
      </c>
      <c r="R25" s="1">
        <v>59.916658300004201</v>
      </c>
      <c r="S25" s="1">
        <v>59.916658300004201</v>
      </c>
      <c r="T25" s="1">
        <v>59.933325000005397</v>
      </c>
      <c r="U25" s="1">
        <v>60.650720100005799</v>
      </c>
      <c r="V25" s="1" t="s">
        <v>32</v>
      </c>
      <c r="W25" s="1">
        <v>0.71925470000132896</v>
      </c>
      <c r="X25" s="1" t="s">
        <v>33</v>
      </c>
      <c r="Y25" s="1" t="s">
        <v>40</v>
      </c>
      <c r="Z25" s="1">
        <v>1</v>
      </c>
      <c r="AA25" s="1" t="s">
        <v>41</v>
      </c>
      <c r="AB25" s="1" t="s">
        <v>36</v>
      </c>
      <c r="AC25" s="1"/>
      <c r="AD25" s="1" t="s">
        <v>37</v>
      </c>
      <c r="AE25" s="1">
        <v>60.019686456835203</v>
      </c>
      <c r="AF25" s="1" t="s">
        <v>42</v>
      </c>
    </row>
    <row r="26" spans="1:32" x14ac:dyDescent="0.35">
      <c r="A26" s="1">
        <v>11</v>
      </c>
      <c r="B26" s="1">
        <v>30</v>
      </c>
      <c r="C26" s="1">
        <v>7</v>
      </c>
      <c r="D26" s="1">
        <v>24</v>
      </c>
      <c r="E26" s="1">
        <v>4</v>
      </c>
      <c r="F26" s="1">
        <v>2</v>
      </c>
      <c r="G26" s="1" t="s">
        <v>39</v>
      </c>
      <c r="H26" s="1">
        <v>0.72442099999898302</v>
      </c>
      <c r="I26" s="1" t="s">
        <v>33</v>
      </c>
      <c r="J26" s="1">
        <v>2</v>
      </c>
      <c r="K26" s="1">
        <v>4</v>
      </c>
      <c r="L26" s="1">
        <v>24</v>
      </c>
      <c r="M26" s="1">
        <v>0</v>
      </c>
      <c r="N26" s="1">
        <v>60.666606800004899</v>
      </c>
      <c r="O26" s="1"/>
      <c r="P26" s="1">
        <v>60.657366100000203</v>
      </c>
      <c r="Q26" s="1">
        <v>60.666606800004899</v>
      </c>
      <c r="R26" s="1">
        <v>61.6664017000002</v>
      </c>
      <c r="S26" s="1">
        <v>61.6664017000002</v>
      </c>
      <c r="T26" s="1">
        <v>61.6664017000002</v>
      </c>
      <c r="U26" s="1">
        <v>62.400585100003802</v>
      </c>
      <c r="V26" s="1" t="s">
        <v>39</v>
      </c>
      <c r="W26" s="1">
        <v>0.72442099999898302</v>
      </c>
      <c r="X26" s="1" t="s">
        <v>33</v>
      </c>
      <c r="Y26" s="1" t="s">
        <v>40</v>
      </c>
      <c r="Z26" s="1">
        <v>1</v>
      </c>
      <c r="AA26" s="1" t="s">
        <v>41</v>
      </c>
      <c r="AB26" s="1" t="s">
        <v>36</v>
      </c>
      <c r="AC26" s="1"/>
      <c r="AD26" s="1" t="s">
        <v>37</v>
      </c>
      <c r="AE26" s="1">
        <v>60.019686456835203</v>
      </c>
      <c r="AF26" s="1" t="s">
        <v>42</v>
      </c>
    </row>
    <row r="27" spans="1:32" x14ac:dyDescent="0.35">
      <c r="A27" s="1">
        <v>49</v>
      </c>
      <c r="B27" s="1">
        <v>60</v>
      </c>
      <c r="C27" s="1">
        <v>89</v>
      </c>
      <c r="D27" s="1">
        <v>25</v>
      </c>
      <c r="E27" s="1">
        <v>5</v>
      </c>
      <c r="F27" s="1">
        <v>2</v>
      </c>
      <c r="G27" s="1" t="s">
        <v>32</v>
      </c>
      <c r="H27" s="1">
        <v>0.58349129999987703</v>
      </c>
      <c r="I27" s="1" t="s">
        <v>33</v>
      </c>
      <c r="J27" s="1">
        <v>2</v>
      </c>
      <c r="K27" s="1">
        <v>5</v>
      </c>
      <c r="L27" s="1">
        <v>25</v>
      </c>
      <c r="M27" s="1">
        <v>4</v>
      </c>
      <c r="N27" s="1">
        <v>62.416206400004697</v>
      </c>
      <c r="O27" s="1"/>
      <c r="P27" s="1">
        <v>62.407933900001801</v>
      </c>
      <c r="Q27" s="1">
        <v>62.416206400004697</v>
      </c>
      <c r="R27" s="1">
        <v>63.416168300005602</v>
      </c>
      <c r="S27" s="1">
        <v>63.416168300005602</v>
      </c>
      <c r="T27" s="1">
        <v>63.416168300005602</v>
      </c>
      <c r="U27" s="1">
        <v>64.016770000001998</v>
      </c>
      <c r="V27" s="1" t="s">
        <v>32</v>
      </c>
      <c r="W27" s="1">
        <v>0.58349129999987703</v>
      </c>
      <c r="X27" s="1" t="s">
        <v>33</v>
      </c>
      <c r="Y27" s="1" t="s">
        <v>40</v>
      </c>
      <c r="Z27" s="1">
        <v>1</v>
      </c>
      <c r="AA27" s="1" t="s">
        <v>41</v>
      </c>
      <c r="AB27" s="1" t="s">
        <v>36</v>
      </c>
      <c r="AC27" s="1"/>
      <c r="AD27" s="1" t="s">
        <v>37</v>
      </c>
      <c r="AE27" s="1">
        <v>60.019686456835203</v>
      </c>
      <c r="AF27" s="1" t="s">
        <v>42</v>
      </c>
    </row>
    <row r="28" spans="1:32" x14ac:dyDescent="0.35">
      <c r="A28" s="1">
        <v>67</v>
      </c>
      <c r="B28" s="1">
        <v>75</v>
      </c>
      <c r="C28" s="1">
        <v>119</v>
      </c>
      <c r="D28" s="1">
        <v>26</v>
      </c>
      <c r="E28" s="1">
        <v>6</v>
      </c>
      <c r="F28" s="1">
        <v>2</v>
      </c>
      <c r="G28" s="1" t="s">
        <v>32</v>
      </c>
      <c r="H28" s="1">
        <v>0.54973790000076395</v>
      </c>
      <c r="I28" s="1" t="s">
        <v>33</v>
      </c>
      <c r="J28" s="1">
        <v>2</v>
      </c>
      <c r="K28" s="1">
        <v>6</v>
      </c>
      <c r="L28" s="1">
        <v>26</v>
      </c>
      <c r="M28" s="1">
        <v>5</v>
      </c>
      <c r="N28" s="1">
        <v>64.032522200002802</v>
      </c>
      <c r="O28" s="1"/>
      <c r="P28" s="1">
        <v>64.023245500000399</v>
      </c>
      <c r="Q28" s="1">
        <v>64.032522200002802</v>
      </c>
      <c r="R28" s="1">
        <v>65.015677499999498</v>
      </c>
      <c r="S28" s="1">
        <v>65.015677499999498</v>
      </c>
      <c r="T28" s="1">
        <v>65.032532299999701</v>
      </c>
      <c r="U28" s="1">
        <v>65.566503300004101</v>
      </c>
      <c r="V28" s="1" t="s">
        <v>32</v>
      </c>
      <c r="W28" s="1">
        <v>0.54973790000076395</v>
      </c>
      <c r="X28" s="1" t="s">
        <v>33</v>
      </c>
      <c r="Y28" s="1" t="s">
        <v>40</v>
      </c>
      <c r="Z28" s="1">
        <v>1</v>
      </c>
      <c r="AA28" s="1" t="s">
        <v>41</v>
      </c>
      <c r="AB28" s="1" t="s">
        <v>36</v>
      </c>
      <c r="AC28" s="1"/>
      <c r="AD28" s="1" t="s">
        <v>37</v>
      </c>
      <c r="AE28" s="1">
        <v>60.019686456835203</v>
      </c>
      <c r="AF28" s="1" t="s">
        <v>42</v>
      </c>
    </row>
    <row r="29" spans="1:32" x14ac:dyDescent="0.35">
      <c r="A29" s="1">
        <v>40</v>
      </c>
      <c r="B29" s="1">
        <v>55</v>
      </c>
      <c r="C29" s="1">
        <v>62</v>
      </c>
      <c r="D29" s="1">
        <v>27</v>
      </c>
      <c r="E29" s="1">
        <v>7</v>
      </c>
      <c r="F29" s="1">
        <v>2</v>
      </c>
      <c r="G29" s="1" t="s">
        <v>32</v>
      </c>
      <c r="H29" s="1">
        <v>0.59700210000301002</v>
      </c>
      <c r="I29" s="1" t="s">
        <v>33</v>
      </c>
      <c r="J29" s="1">
        <v>2</v>
      </c>
      <c r="K29" s="1">
        <v>7</v>
      </c>
      <c r="L29" s="1">
        <v>27</v>
      </c>
      <c r="M29" s="1">
        <v>3</v>
      </c>
      <c r="N29" s="1">
        <v>65.599126900000499</v>
      </c>
      <c r="O29" s="1"/>
      <c r="P29" s="1">
        <v>65.575610800005904</v>
      </c>
      <c r="Q29" s="1">
        <v>65.599126900000499</v>
      </c>
      <c r="R29" s="1">
        <v>66.565749100001995</v>
      </c>
      <c r="S29" s="1">
        <v>66.565749100001995</v>
      </c>
      <c r="T29" s="1">
        <v>66.598982600000397</v>
      </c>
      <c r="U29" s="1">
        <v>67.165995700001005</v>
      </c>
      <c r="V29" s="1" t="s">
        <v>32</v>
      </c>
      <c r="W29" s="1">
        <v>0.59700210000301002</v>
      </c>
      <c r="X29" s="1" t="s">
        <v>33</v>
      </c>
      <c r="Y29" s="1" t="s">
        <v>40</v>
      </c>
      <c r="Z29" s="1">
        <v>1</v>
      </c>
      <c r="AA29" s="1" t="s">
        <v>41</v>
      </c>
      <c r="AB29" s="1" t="s">
        <v>36</v>
      </c>
      <c r="AC29" s="1"/>
      <c r="AD29" s="1" t="s">
        <v>37</v>
      </c>
      <c r="AE29" s="1">
        <v>60.019686456835203</v>
      </c>
      <c r="AF29" s="1" t="s">
        <v>42</v>
      </c>
    </row>
    <row r="30" spans="1:32" x14ac:dyDescent="0.35">
      <c r="A30" s="1">
        <v>98</v>
      </c>
      <c r="B30" s="1">
        <v>120</v>
      </c>
      <c r="C30" s="1">
        <v>230</v>
      </c>
      <c r="D30" s="1">
        <v>28</v>
      </c>
      <c r="E30" s="1">
        <v>8</v>
      </c>
      <c r="F30" s="1">
        <v>2</v>
      </c>
      <c r="G30" s="1" t="s">
        <v>32</v>
      </c>
      <c r="H30" s="1">
        <v>0.809646899993822</v>
      </c>
      <c r="I30" s="1" t="s">
        <v>33</v>
      </c>
      <c r="J30" s="1">
        <v>2</v>
      </c>
      <c r="K30" s="1">
        <v>8</v>
      </c>
      <c r="L30" s="1">
        <v>28</v>
      </c>
      <c r="M30" s="1">
        <v>8</v>
      </c>
      <c r="N30" s="1">
        <v>67.182101099999201</v>
      </c>
      <c r="O30" s="1"/>
      <c r="P30" s="1">
        <v>67.172850599999904</v>
      </c>
      <c r="Q30" s="1">
        <v>67.182101099999201</v>
      </c>
      <c r="R30" s="1">
        <v>68.165212800005904</v>
      </c>
      <c r="S30" s="1">
        <v>68.165212800005904</v>
      </c>
      <c r="T30" s="1">
        <v>68.181829699999</v>
      </c>
      <c r="U30" s="1">
        <v>68.982417600003799</v>
      </c>
      <c r="V30" s="1" t="s">
        <v>32</v>
      </c>
      <c r="W30" s="1">
        <v>0.809646899993822</v>
      </c>
      <c r="X30" s="1" t="s">
        <v>33</v>
      </c>
      <c r="Y30" s="1" t="s">
        <v>40</v>
      </c>
      <c r="Z30" s="1">
        <v>1</v>
      </c>
      <c r="AA30" s="1" t="s">
        <v>41</v>
      </c>
      <c r="AB30" s="1" t="s">
        <v>36</v>
      </c>
      <c r="AC30" s="1"/>
      <c r="AD30" s="1" t="s">
        <v>37</v>
      </c>
      <c r="AE30" s="1">
        <v>60.019686456835203</v>
      </c>
      <c r="AF30" s="1" t="s">
        <v>42</v>
      </c>
    </row>
    <row r="31" spans="1:32" x14ac:dyDescent="0.35">
      <c r="A31" s="1">
        <v>15</v>
      </c>
      <c r="B31" s="1">
        <v>35</v>
      </c>
      <c r="C31" s="1">
        <v>13</v>
      </c>
      <c r="D31" s="1">
        <v>29</v>
      </c>
      <c r="E31" s="1">
        <v>9</v>
      </c>
      <c r="F31" s="1">
        <v>2</v>
      </c>
      <c r="G31" s="1" t="s">
        <v>39</v>
      </c>
      <c r="H31" s="1">
        <v>0.79654840000148397</v>
      </c>
      <c r="I31" s="1" t="s">
        <v>33</v>
      </c>
      <c r="J31" s="1">
        <v>2</v>
      </c>
      <c r="K31" s="1">
        <v>9</v>
      </c>
      <c r="L31" s="1">
        <v>29</v>
      </c>
      <c r="M31" s="1">
        <v>1</v>
      </c>
      <c r="N31" s="1">
        <v>68.998445700002705</v>
      </c>
      <c r="O31" s="1"/>
      <c r="P31" s="1">
        <v>68.9873644000035</v>
      </c>
      <c r="Q31" s="1">
        <v>68.998445700002705</v>
      </c>
      <c r="R31" s="1">
        <v>69.981756000000999</v>
      </c>
      <c r="S31" s="1">
        <v>69.981756000000999</v>
      </c>
      <c r="T31" s="1">
        <v>69.998339900004794</v>
      </c>
      <c r="U31" s="1">
        <v>70.782231500001203</v>
      </c>
      <c r="V31" s="1" t="s">
        <v>39</v>
      </c>
      <c r="W31" s="1">
        <v>0.79654840000148397</v>
      </c>
      <c r="X31" s="1" t="s">
        <v>33</v>
      </c>
      <c r="Y31" s="1" t="s">
        <v>40</v>
      </c>
      <c r="Z31" s="1">
        <v>1</v>
      </c>
      <c r="AA31" s="1" t="s">
        <v>41</v>
      </c>
      <c r="AB31" s="1" t="s">
        <v>36</v>
      </c>
      <c r="AC31" s="1"/>
      <c r="AD31" s="1" t="s">
        <v>37</v>
      </c>
      <c r="AE31" s="1">
        <v>60.019686456835203</v>
      </c>
      <c r="AF31" s="1" t="s">
        <v>42</v>
      </c>
    </row>
    <row r="32" spans="1:32" x14ac:dyDescent="0.35">
      <c r="A32" s="1">
        <v>67</v>
      </c>
      <c r="B32" s="1">
        <v>75</v>
      </c>
      <c r="C32" s="1">
        <v>119</v>
      </c>
      <c r="D32" s="1">
        <v>30</v>
      </c>
      <c r="E32" s="1">
        <v>0</v>
      </c>
      <c r="F32" s="1">
        <v>3</v>
      </c>
      <c r="G32" s="1" t="s">
        <v>32</v>
      </c>
      <c r="H32" s="1">
        <v>0.59924209999735401</v>
      </c>
      <c r="I32" s="1" t="s">
        <v>33</v>
      </c>
      <c r="J32" s="1">
        <v>3</v>
      </c>
      <c r="K32" s="1">
        <v>0</v>
      </c>
      <c r="L32" s="1">
        <v>30</v>
      </c>
      <c r="M32" s="1">
        <v>5</v>
      </c>
      <c r="N32" s="1">
        <v>70.798081000000806</v>
      </c>
      <c r="O32" s="1"/>
      <c r="P32" s="1">
        <v>70.788753900000302</v>
      </c>
      <c r="Q32" s="1">
        <v>70.798081000000806</v>
      </c>
      <c r="R32" s="1">
        <v>71.781377700004597</v>
      </c>
      <c r="S32" s="1">
        <v>71.781377700004597</v>
      </c>
      <c r="T32" s="1">
        <v>71.797990700004405</v>
      </c>
      <c r="U32" s="1">
        <v>72.3823376</v>
      </c>
      <c r="V32" s="1" t="s">
        <v>32</v>
      </c>
      <c r="W32" s="1">
        <v>0.59924209999735401</v>
      </c>
      <c r="X32" s="1" t="s">
        <v>33</v>
      </c>
      <c r="Y32" s="1" t="s">
        <v>40</v>
      </c>
      <c r="Z32" s="1">
        <v>1</v>
      </c>
      <c r="AA32" s="1" t="s">
        <v>41</v>
      </c>
      <c r="AB32" s="1" t="s">
        <v>36</v>
      </c>
      <c r="AC32" s="1"/>
      <c r="AD32" s="1" t="s">
        <v>37</v>
      </c>
      <c r="AE32" s="1">
        <v>60.019686456835203</v>
      </c>
      <c r="AF32" s="1" t="s">
        <v>42</v>
      </c>
    </row>
    <row r="33" spans="1:32" x14ac:dyDescent="0.35">
      <c r="A33" s="1">
        <v>88</v>
      </c>
      <c r="B33" s="1">
        <v>105</v>
      </c>
      <c r="C33" s="1">
        <v>200</v>
      </c>
      <c r="D33" s="1">
        <v>31</v>
      </c>
      <c r="E33" s="1">
        <v>1</v>
      </c>
      <c r="F33" s="1">
        <v>3</v>
      </c>
      <c r="G33" s="1" t="s">
        <v>32</v>
      </c>
      <c r="H33" s="1">
        <v>0.57542139999713904</v>
      </c>
      <c r="I33" s="1" t="s">
        <v>33</v>
      </c>
      <c r="J33" s="1">
        <v>3</v>
      </c>
      <c r="K33" s="1">
        <v>1</v>
      </c>
      <c r="L33" s="1">
        <v>31</v>
      </c>
      <c r="M33" s="1">
        <v>7</v>
      </c>
      <c r="N33" s="1">
        <v>72.397831300004299</v>
      </c>
      <c r="O33" s="1"/>
      <c r="P33" s="1">
        <v>72.388387800005106</v>
      </c>
      <c r="Q33" s="1">
        <v>72.397831300004299</v>
      </c>
      <c r="R33" s="1">
        <v>73.381480100004396</v>
      </c>
      <c r="S33" s="1">
        <v>73.381480100004396</v>
      </c>
      <c r="T33" s="1">
        <v>73.3981844000009</v>
      </c>
      <c r="U33" s="1">
        <v>73.965189300004496</v>
      </c>
      <c r="V33" s="1" t="s">
        <v>32</v>
      </c>
      <c r="W33" s="1">
        <v>0.57542139999713904</v>
      </c>
      <c r="X33" s="1" t="s">
        <v>33</v>
      </c>
      <c r="Y33" s="1" t="s">
        <v>40</v>
      </c>
      <c r="Z33" s="1">
        <v>1</v>
      </c>
      <c r="AA33" s="1" t="s">
        <v>41</v>
      </c>
      <c r="AB33" s="1" t="s">
        <v>36</v>
      </c>
      <c r="AC33" s="1"/>
      <c r="AD33" s="1" t="s">
        <v>37</v>
      </c>
      <c r="AE33" s="1">
        <v>60.019686456835203</v>
      </c>
      <c r="AF33" s="1" t="s">
        <v>42</v>
      </c>
    </row>
    <row r="34" spans="1:32" x14ac:dyDescent="0.35">
      <c r="A34" s="1">
        <v>98</v>
      </c>
      <c r="B34" s="1">
        <v>120</v>
      </c>
      <c r="C34" s="1">
        <v>230</v>
      </c>
      <c r="D34" s="1">
        <v>32</v>
      </c>
      <c r="E34" s="1">
        <v>2</v>
      </c>
      <c r="F34" s="1">
        <v>3</v>
      </c>
      <c r="G34" s="1" t="s">
        <v>32</v>
      </c>
      <c r="H34" s="1">
        <v>0.76643099999637299</v>
      </c>
      <c r="I34" s="1" t="s">
        <v>33</v>
      </c>
      <c r="J34" s="1">
        <v>3</v>
      </c>
      <c r="K34" s="1">
        <v>2</v>
      </c>
      <c r="L34" s="1">
        <v>32</v>
      </c>
      <c r="M34" s="1">
        <v>8</v>
      </c>
      <c r="N34" s="1">
        <v>73.9811294000028</v>
      </c>
      <c r="O34" s="1"/>
      <c r="P34" s="1">
        <v>73.972331800003303</v>
      </c>
      <c r="Q34" s="1">
        <v>73.9811294000028</v>
      </c>
      <c r="R34" s="1">
        <v>74.964264300004203</v>
      </c>
      <c r="S34" s="1">
        <v>74.964264300004203</v>
      </c>
      <c r="T34" s="1">
        <v>74.980928600001704</v>
      </c>
      <c r="U34" s="1">
        <v>75.731453799999102</v>
      </c>
      <c r="V34" s="1" t="s">
        <v>32</v>
      </c>
      <c r="W34" s="1">
        <v>0.76643099999637299</v>
      </c>
      <c r="X34" s="1" t="s">
        <v>33</v>
      </c>
      <c r="Y34" s="1" t="s">
        <v>40</v>
      </c>
      <c r="Z34" s="1">
        <v>1</v>
      </c>
      <c r="AA34" s="1" t="s">
        <v>41</v>
      </c>
      <c r="AB34" s="1" t="s">
        <v>36</v>
      </c>
      <c r="AC34" s="1"/>
      <c r="AD34" s="1" t="s">
        <v>37</v>
      </c>
      <c r="AE34" s="1">
        <v>60.019686456835203</v>
      </c>
      <c r="AF34" s="1" t="s">
        <v>42</v>
      </c>
    </row>
    <row r="35" spans="1:32" x14ac:dyDescent="0.35">
      <c r="A35" s="1">
        <v>49</v>
      </c>
      <c r="B35" s="1">
        <v>60</v>
      </c>
      <c r="C35" s="1">
        <v>89</v>
      </c>
      <c r="D35" s="1">
        <v>33</v>
      </c>
      <c r="E35" s="1">
        <v>3</v>
      </c>
      <c r="F35" s="1">
        <v>3</v>
      </c>
      <c r="G35" s="1" t="s">
        <v>32</v>
      </c>
      <c r="H35" s="1">
        <v>1.05829369999992</v>
      </c>
      <c r="I35" s="1" t="s">
        <v>33</v>
      </c>
      <c r="J35" s="1">
        <v>3</v>
      </c>
      <c r="K35" s="1">
        <v>3</v>
      </c>
      <c r="L35" s="1">
        <v>33</v>
      </c>
      <c r="M35" s="1">
        <v>4</v>
      </c>
      <c r="N35" s="1">
        <v>75.747311700004502</v>
      </c>
      <c r="O35" s="1"/>
      <c r="P35" s="1">
        <v>75.737559100001803</v>
      </c>
      <c r="Q35" s="1">
        <v>75.747311700004502</v>
      </c>
      <c r="R35" s="1">
        <v>76.730595400003907</v>
      </c>
      <c r="S35" s="1">
        <v>76.730595400003907</v>
      </c>
      <c r="T35" s="1">
        <v>76.747327800003404</v>
      </c>
      <c r="U35" s="1">
        <v>77.798119300001403</v>
      </c>
      <c r="V35" s="1" t="s">
        <v>32</v>
      </c>
      <c r="W35" s="1">
        <v>1.05829369999992</v>
      </c>
      <c r="X35" s="1" t="s">
        <v>33</v>
      </c>
      <c r="Y35" s="1" t="s">
        <v>40</v>
      </c>
      <c r="Z35" s="1">
        <v>1</v>
      </c>
      <c r="AA35" s="1" t="s">
        <v>41</v>
      </c>
      <c r="AB35" s="1" t="s">
        <v>36</v>
      </c>
      <c r="AC35" s="1"/>
      <c r="AD35" s="1" t="s">
        <v>37</v>
      </c>
      <c r="AE35" s="1">
        <v>60.019686456835203</v>
      </c>
      <c r="AF35" s="1" t="s">
        <v>42</v>
      </c>
    </row>
    <row r="36" spans="1:32" x14ac:dyDescent="0.35">
      <c r="A36" s="1">
        <v>110</v>
      </c>
      <c r="B36" s="1">
        <v>135</v>
      </c>
      <c r="C36" s="1">
        <v>270</v>
      </c>
      <c r="D36" s="1">
        <v>34</v>
      </c>
      <c r="E36" s="1">
        <v>4</v>
      </c>
      <c r="F36" s="1">
        <v>3</v>
      </c>
      <c r="G36" s="1" t="s">
        <v>32</v>
      </c>
      <c r="H36" s="1">
        <v>0.95458789999975102</v>
      </c>
      <c r="I36" s="1" t="s">
        <v>33</v>
      </c>
      <c r="J36" s="1">
        <v>3</v>
      </c>
      <c r="K36" s="1">
        <v>4</v>
      </c>
      <c r="L36" s="1">
        <v>34</v>
      </c>
      <c r="M36" s="1">
        <v>9</v>
      </c>
      <c r="N36" s="1">
        <v>77.830268100005895</v>
      </c>
      <c r="O36" s="1"/>
      <c r="P36" s="1">
        <v>77.809134900002306</v>
      </c>
      <c r="Q36" s="1">
        <v>77.830268100005895</v>
      </c>
      <c r="R36" s="1">
        <v>78.813561100003398</v>
      </c>
      <c r="S36" s="1">
        <v>78.813561100003398</v>
      </c>
      <c r="T36" s="1">
        <v>78.830157900003499</v>
      </c>
      <c r="U36" s="1">
        <v>79.781240600001098</v>
      </c>
      <c r="V36" s="1" t="s">
        <v>32</v>
      </c>
      <c r="W36" s="1">
        <v>0.95458789999975102</v>
      </c>
      <c r="X36" s="1" t="s">
        <v>33</v>
      </c>
      <c r="Y36" s="1" t="s">
        <v>40</v>
      </c>
      <c r="Z36" s="1">
        <v>1</v>
      </c>
      <c r="AA36" s="1" t="s">
        <v>41</v>
      </c>
      <c r="AB36" s="1" t="s">
        <v>36</v>
      </c>
      <c r="AC36" s="1"/>
      <c r="AD36" s="1" t="s">
        <v>37</v>
      </c>
      <c r="AE36" s="1">
        <v>60.019686456835203</v>
      </c>
      <c r="AF36" s="1" t="s">
        <v>42</v>
      </c>
    </row>
    <row r="37" spans="1:32" x14ac:dyDescent="0.35">
      <c r="A37" s="1">
        <v>78</v>
      </c>
      <c r="B37" s="1">
        <v>80</v>
      </c>
      <c r="C37" s="1">
        <v>162</v>
      </c>
      <c r="D37" s="1">
        <v>35</v>
      </c>
      <c r="E37" s="1">
        <v>5</v>
      </c>
      <c r="F37" s="1">
        <v>3</v>
      </c>
      <c r="G37" s="1" t="s">
        <v>32</v>
      </c>
      <c r="H37" s="1">
        <v>1.0527082999979001</v>
      </c>
      <c r="I37" s="1" t="s">
        <v>33</v>
      </c>
      <c r="J37" s="1">
        <v>3</v>
      </c>
      <c r="K37" s="1">
        <v>5</v>
      </c>
      <c r="L37" s="1">
        <v>35</v>
      </c>
      <c r="M37" s="1">
        <v>6</v>
      </c>
      <c r="N37" s="1">
        <v>79.796802200005899</v>
      </c>
      <c r="O37" s="1"/>
      <c r="P37" s="1">
        <v>79.788179900002405</v>
      </c>
      <c r="Q37" s="1">
        <v>79.796802200005899</v>
      </c>
      <c r="R37" s="1">
        <v>80.796514699999506</v>
      </c>
      <c r="S37" s="1">
        <v>80.796514699999506</v>
      </c>
      <c r="T37" s="1">
        <v>80.796514699999506</v>
      </c>
      <c r="U37" s="1">
        <v>81.864292300000599</v>
      </c>
      <c r="V37" s="1" t="s">
        <v>32</v>
      </c>
      <c r="W37" s="1">
        <v>1.0527082999979001</v>
      </c>
      <c r="X37" s="1" t="s">
        <v>33</v>
      </c>
      <c r="Y37" s="1" t="s">
        <v>40</v>
      </c>
      <c r="Z37" s="1">
        <v>1</v>
      </c>
      <c r="AA37" s="1" t="s">
        <v>41</v>
      </c>
      <c r="AB37" s="1" t="s">
        <v>36</v>
      </c>
      <c r="AC37" s="1"/>
      <c r="AD37" s="1" t="s">
        <v>37</v>
      </c>
      <c r="AE37" s="1">
        <v>60.019686456835203</v>
      </c>
      <c r="AF37" s="1" t="s">
        <v>42</v>
      </c>
    </row>
    <row r="38" spans="1:32" x14ac:dyDescent="0.35">
      <c r="A38" s="1">
        <v>15</v>
      </c>
      <c r="B38" s="1">
        <v>35</v>
      </c>
      <c r="C38" s="1">
        <v>13</v>
      </c>
      <c r="D38" s="1">
        <v>36</v>
      </c>
      <c r="E38" s="1">
        <v>6</v>
      </c>
      <c r="F38" s="1">
        <v>3</v>
      </c>
      <c r="G38" s="1" t="s">
        <v>39</v>
      </c>
      <c r="H38" s="1">
        <v>0.84631719999742905</v>
      </c>
      <c r="I38" s="1" t="s">
        <v>33</v>
      </c>
      <c r="J38" s="1">
        <v>3</v>
      </c>
      <c r="K38" s="1">
        <v>6</v>
      </c>
      <c r="L38" s="1">
        <v>36</v>
      </c>
      <c r="M38" s="1">
        <v>1</v>
      </c>
      <c r="N38" s="1">
        <v>81.896424600003201</v>
      </c>
      <c r="O38" s="1"/>
      <c r="P38" s="1">
        <v>81.873503800001302</v>
      </c>
      <c r="Q38" s="1">
        <v>81.896424600003201</v>
      </c>
      <c r="R38" s="1">
        <v>82.8797745000047</v>
      </c>
      <c r="S38" s="1">
        <v>82.8797745000047</v>
      </c>
      <c r="T38" s="1">
        <v>82.896293000005201</v>
      </c>
      <c r="U38" s="1">
        <v>83.730202500002605</v>
      </c>
      <c r="V38" s="1" t="s">
        <v>39</v>
      </c>
      <c r="W38" s="1">
        <v>0.84631719999742905</v>
      </c>
      <c r="X38" s="1" t="s">
        <v>33</v>
      </c>
      <c r="Y38" s="1" t="s">
        <v>40</v>
      </c>
      <c r="Z38" s="1">
        <v>1</v>
      </c>
      <c r="AA38" s="1" t="s">
        <v>41</v>
      </c>
      <c r="AB38" s="1" t="s">
        <v>36</v>
      </c>
      <c r="AC38" s="1"/>
      <c r="AD38" s="1" t="s">
        <v>37</v>
      </c>
      <c r="AE38" s="1">
        <v>60.019686456835203</v>
      </c>
      <c r="AF38" s="1" t="s">
        <v>42</v>
      </c>
    </row>
    <row r="39" spans="1:32" x14ac:dyDescent="0.35">
      <c r="A39" s="1">
        <v>40</v>
      </c>
      <c r="B39" s="1">
        <v>55</v>
      </c>
      <c r="C39" s="1">
        <v>62</v>
      </c>
      <c r="D39" s="1">
        <v>37</v>
      </c>
      <c r="E39" s="1">
        <v>7</v>
      </c>
      <c r="F39" s="1">
        <v>3</v>
      </c>
      <c r="G39" s="1" t="s">
        <v>32</v>
      </c>
      <c r="H39" s="1">
        <v>0.70515190000150996</v>
      </c>
      <c r="I39" s="1" t="s">
        <v>33</v>
      </c>
      <c r="J39" s="1">
        <v>3</v>
      </c>
      <c r="K39" s="1">
        <v>7</v>
      </c>
      <c r="L39" s="1">
        <v>37</v>
      </c>
      <c r="M39" s="1">
        <v>3</v>
      </c>
      <c r="N39" s="1">
        <v>83.746115100002498</v>
      </c>
      <c r="O39" s="1"/>
      <c r="P39" s="1">
        <v>83.737564400005795</v>
      </c>
      <c r="Q39" s="1">
        <v>83.746115100002498</v>
      </c>
      <c r="R39" s="1">
        <v>84.729394100002494</v>
      </c>
      <c r="S39" s="1">
        <v>84.729394100002494</v>
      </c>
      <c r="T39" s="1">
        <v>84.746042500002602</v>
      </c>
      <c r="U39" s="1">
        <v>85.4472269000034</v>
      </c>
      <c r="V39" s="1" t="s">
        <v>32</v>
      </c>
      <c r="W39" s="1">
        <v>0.70515190000150996</v>
      </c>
      <c r="X39" s="1" t="s">
        <v>33</v>
      </c>
      <c r="Y39" s="1" t="s">
        <v>40</v>
      </c>
      <c r="Z39" s="1">
        <v>1</v>
      </c>
      <c r="AA39" s="1" t="s">
        <v>41</v>
      </c>
      <c r="AB39" s="1" t="s">
        <v>36</v>
      </c>
      <c r="AC39" s="1"/>
      <c r="AD39" s="1" t="s">
        <v>37</v>
      </c>
      <c r="AE39" s="1">
        <v>60.019686456835203</v>
      </c>
      <c r="AF39" s="1" t="s">
        <v>42</v>
      </c>
    </row>
    <row r="40" spans="1:32" x14ac:dyDescent="0.35">
      <c r="A40" s="1">
        <v>27</v>
      </c>
      <c r="B40" s="1">
        <v>50</v>
      </c>
      <c r="C40" s="1">
        <v>21</v>
      </c>
      <c r="D40" s="1">
        <v>38</v>
      </c>
      <c r="E40" s="1">
        <v>8</v>
      </c>
      <c r="F40" s="1">
        <v>3</v>
      </c>
      <c r="G40" s="1" t="s">
        <v>32</v>
      </c>
      <c r="H40" s="1">
        <v>0.90924520000407905</v>
      </c>
      <c r="I40" s="1" t="s">
        <v>33</v>
      </c>
      <c r="J40" s="1">
        <v>3</v>
      </c>
      <c r="K40" s="1">
        <v>8</v>
      </c>
      <c r="L40" s="1">
        <v>38</v>
      </c>
      <c r="M40" s="1">
        <v>2</v>
      </c>
      <c r="N40" s="1">
        <v>85.462348500004694</v>
      </c>
      <c r="O40" s="1"/>
      <c r="P40" s="1">
        <v>85.453392499999595</v>
      </c>
      <c r="Q40" s="1">
        <v>85.462348500004694</v>
      </c>
      <c r="R40" s="1">
        <v>86.445626600005198</v>
      </c>
      <c r="S40" s="1">
        <v>86.445626600005198</v>
      </c>
      <c r="T40" s="1">
        <v>86.462701600001296</v>
      </c>
      <c r="U40" s="1">
        <v>87.362792300002099</v>
      </c>
      <c r="V40" s="1" t="s">
        <v>32</v>
      </c>
      <c r="W40" s="1">
        <v>0.90924520000407905</v>
      </c>
      <c r="X40" s="1" t="s">
        <v>33</v>
      </c>
      <c r="Y40" s="1" t="s">
        <v>40</v>
      </c>
      <c r="Z40" s="1">
        <v>1</v>
      </c>
      <c r="AA40" s="1" t="s">
        <v>41</v>
      </c>
      <c r="AB40" s="1" t="s">
        <v>36</v>
      </c>
      <c r="AC40" s="1"/>
      <c r="AD40" s="1" t="s">
        <v>37</v>
      </c>
      <c r="AE40" s="1">
        <v>60.019686456835203</v>
      </c>
      <c r="AF40" s="1" t="s">
        <v>42</v>
      </c>
    </row>
    <row r="41" spans="1:32" x14ac:dyDescent="0.35">
      <c r="A41" s="1">
        <v>11</v>
      </c>
      <c r="B41" s="1">
        <v>30</v>
      </c>
      <c r="C41" s="1">
        <v>7</v>
      </c>
      <c r="D41" s="1">
        <v>39</v>
      </c>
      <c r="E41" s="1">
        <v>9</v>
      </c>
      <c r="F41" s="1">
        <v>3</v>
      </c>
      <c r="G41" s="1" t="s">
        <v>39</v>
      </c>
      <c r="H41" s="1">
        <v>0.66545770000084303</v>
      </c>
      <c r="I41" s="1" t="s">
        <v>33</v>
      </c>
      <c r="J41" s="1">
        <v>3</v>
      </c>
      <c r="K41" s="1">
        <v>9</v>
      </c>
      <c r="L41" s="1">
        <v>39</v>
      </c>
      <c r="M41" s="1">
        <v>0</v>
      </c>
      <c r="N41" s="1">
        <v>87.378770400006005</v>
      </c>
      <c r="O41" s="1"/>
      <c r="P41" s="1">
        <v>87.368888000004503</v>
      </c>
      <c r="Q41" s="1">
        <v>87.378770400006005</v>
      </c>
      <c r="R41" s="1">
        <v>88.362714800001399</v>
      </c>
      <c r="S41" s="1">
        <v>88.362714800001399</v>
      </c>
      <c r="T41" s="1">
        <v>88.379114499999503</v>
      </c>
      <c r="U41" s="1">
        <v>89.029306000003999</v>
      </c>
      <c r="V41" s="1" t="s">
        <v>39</v>
      </c>
      <c r="W41" s="1">
        <v>0.66545770000084303</v>
      </c>
      <c r="X41" s="1" t="s">
        <v>33</v>
      </c>
      <c r="Y41" s="1" t="s">
        <v>40</v>
      </c>
      <c r="Z41" s="1">
        <v>1</v>
      </c>
      <c r="AA41" s="1" t="s">
        <v>41</v>
      </c>
      <c r="AB41" s="1" t="s">
        <v>36</v>
      </c>
      <c r="AC41" s="1"/>
      <c r="AD41" s="1" t="s">
        <v>37</v>
      </c>
      <c r="AE41" s="1">
        <v>60.019686456835203</v>
      </c>
      <c r="AF41" s="1" t="s">
        <v>42</v>
      </c>
    </row>
    <row r="42" spans="1:32" x14ac:dyDescent="0.35">
      <c r="A42" s="1">
        <v>15</v>
      </c>
      <c r="B42" s="1">
        <v>35</v>
      </c>
      <c r="C42" s="1">
        <v>13</v>
      </c>
      <c r="D42" s="1">
        <v>40</v>
      </c>
      <c r="E42" s="1">
        <v>0</v>
      </c>
      <c r="F42" s="1">
        <v>4</v>
      </c>
      <c r="G42" s="1" t="s">
        <v>39</v>
      </c>
      <c r="H42" s="1">
        <v>0.98916650000319295</v>
      </c>
      <c r="I42" s="1" t="s">
        <v>33</v>
      </c>
      <c r="J42" s="1">
        <v>4</v>
      </c>
      <c r="K42" s="1">
        <v>0</v>
      </c>
      <c r="L42" s="1">
        <v>40</v>
      </c>
      <c r="M42" s="1">
        <v>1</v>
      </c>
      <c r="N42" s="1">
        <v>89.045312300004298</v>
      </c>
      <c r="O42" s="1"/>
      <c r="P42" s="1">
        <v>89.036669699998995</v>
      </c>
      <c r="Q42" s="1">
        <v>89.045312300004298</v>
      </c>
      <c r="R42" s="1">
        <v>90.028479400003505</v>
      </c>
      <c r="S42" s="1">
        <v>90.028479400003505</v>
      </c>
      <c r="T42" s="1">
        <v>90.045101100004104</v>
      </c>
      <c r="U42" s="1">
        <v>91.028837100006001</v>
      </c>
      <c r="V42" s="1" t="s">
        <v>39</v>
      </c>
      <c r="W42" s="1">
        <v>0.98916650000319295</v>
      </c>
      <c r="X42" s="1" t="s">
        <v>33</v>
      </c>
      <c r="Y42" s="1" t="s">
        <v>40</v>
      </c>
      <c r="Z42" s="1">
        <v>1</v>
      </c>
      <c r="AA42" s="1" t="s">
        <v>41</v>
      </c>
      <c r="AB42" s="1" t="s">
        <v>36</v>
      </c>
      <c r="AC42" s="1"/>
      <c r="AD42" s="1" t="s">
        <v>37</v>
      </c>
      <c r="AE42" s="1">
        <v>60.019686456835203</v>
      </c>
      <c r="AF42" s="1" t="s">
        <v>42</v>
      </c>
    </row>
    <row r="43" spans="1:32" x14ac:dyDescent="0.35">
      <c r="A43" s="1">
        <v>27</v>
      </c>
      <c r="B43" s="1">
        <v>50</v>
      </c>
      <c r="C43" s="1">
        <v>21</v>
      </c>
      <c r="D43" s="1">
        <v>41</v>
      </c>
      <c r="E43" s="1">
        <v>1</v>
      </c>
      <c r="F43" s="1">
        <v>4</v>
      </c>
      <c r="G43" s="1" t="s">
        <v>32</v>
      </c>
      <c r="H43" s="1">
        <v>0.74596620000374902</v>
      </c>
      <c r="I43" s="1" t="s">
        <v>33</v>
      </c>
      <c r="J43" s="1">
        <v>4</v>
      </c>
      <c r="K43" s="1">
        <v>1</v>
      </c>
      <c r="L43" s="1">
        <v>41</v>
      </c>
      <c r="M43" s="1">
        <v>2</v>
      </c>
      <c r="N43" s="1">
        <v>91.045230399999099</v>
      </c>
      <c r="O43" s="1"/>
      <c r="P43" s="1">
        <v>91.033759199999594</v>
      </c>
      <c r="Q43" s="1">
        <v>91.045230399999099</v>
      </c>
      <c r="R43" s="1">
        <v>92.028140400005199</v>
      </c>
      <c r="S43" s="1">
        <v>92.028140400005199</v>
      </c>
      <c r="T43" s="1">
        <v>92.044808999999006</v>
      </c>
      <c r="U43" s="1">
        <v>92.778571900002106</v>
      </c>
      <c r="V43" s="1" t="s">
        <v>32</v>
      </c>
      <c r="W43" s="1">
        <v>0.74596620000374902</v>
      </c>
      <c r="X43" s="1" t="s">
        <v>33</v>
      </c>
      <c r="Y43" s="1" t="s">
        <v>40</v>
      </c>
      <c r="Z43" s="1">
        <v>1</v>
      </c>
      <c r="AA43" s="1" t="s">
        <v>41</v>
      </c>
      <c r="AB43" s="1" t="s">
        <v>36</v>
      </c>
      <c r="AC43" s="1"/>
      <c r="AD43" s="1" t="s">
        <v>37</v>
      </c>
      <c r="AE43" s="1">
        <v>60.019686456835203</v>
      </c>
      <c r="AF43" s="1" t="s">
        <v>42</v>
      </c>
    </row>
    <row r="44" spans="1:32" x14ac:dyDescent="0.35">
      <c r="A44" s="1">
        <v>110</v>
      </c>
      <c r="B44" s="1">
        <v>135</v>
      </c>
      <c r="C44" s="1">
        <v>270</v>
      </c>
      <c r="D44" s="1">
        <v>42</v>
      </c>
      <c r="E44" s="1">
        <v>2</v>
      </c>
      <c r="F44" s="1">
        <v>4</v>
      </c>
      <c r="G44" s="1" t="s">
        <v>32</v>
      </c>
      <c r="H44" s="1">
        <v>0.72935500000312403</v>
      </c>
      <c r="I44" s="1" t="s">
        <v>33</v>
      </c>
      <c r="J44" s="1">
        <v>4</v>
      </c>
      <c r="K44" s="1">
        <v>2</v>
      </c>
      <c r="L44" s="1">
        <v>42</v>
      </c>
      <c r="M44" s="1">
        <v>9</v>
      </c>
      <c r="N44" s="1">
        <v>92.794598100001096</v>
      </c>
      <c r="O44" s="1"/>
      <c r="P44" s="1">
        <v>92.785991100005006</v>
      </c>
      <c r="Q44" s="1">
        <v>92.794598100001096</v>
      </c>
      <c r="R44" s="1">
        <v>93.777766099999994</v>
      </c>
      <c r="S44" s="1">
        <v>93.777766099999994</v>
      </c>
      <c r="T44" s="1">
        <v>93.794460500001094</v>
      </c>
      <c r="U44" s="1">
        <v>94.511935700000294</v>
      </c>
      <c r="V44" s="1" t="s">
        <v>32</v>
      </c>
      <c r="W44" s="1">
        <v>0.72935500000312403</v>
      </c>
      <c r="X44" s="1" t="s">
        <v>33</v>
      </c>
      <c r="Y44" s="1" t="s">
        <v>40</v>
      </c>
      <c r="Z44" s="1">
        <v>1</v>
      </c>
      <c r="AA44" s="1" t="s">
        <v>41</v>
      </c>
      <c r="AB44" s="1" t="s">
        <v>36</v>
      </c>
      <c r="AC44" s="1"/>
      <c r="AD44" s="1" t="s">
        <v>37</v>
      </c>
      <c r="AE44" s="1">
        <v>60.019686456835203</v>
      </c>
      <c r="AF44" s="1" t="s">
        <v>42</v>
      </c>
    </row>
    <row r="45" spans="1:32" x14ac:dyDescent="0.35">
      <c r="A45" s="1">
        <v>88</v>
      </c>
      <c r="B45" s="1">
        <v>105</v>
      </c>
      <c r="C45" s="1">
        <v>200</v>
      </c>
      <c r="D45" s="1">
        <v>43</v>
      </c>
      <c r="E45" s="1">
        <v>3</v>
      </c>
      <c r="F45" s="1">
        <v>4</v>
      </c>
      <c r="G45" s="1" t="s">
        <v>32</v>
      </c>
      <c r="H45" s="1">
        <v>0.78282439999747999</v>
      </c>
      <c r="I45" s="1" t="s">
        <v>33</v>
      </c>
      <c r="J45" s="1">
        <v>4</v>
      </c>
      <c r="K45" s="1">
        <v>3</v>
      </c>
      <c r="L45" s="1">
        <v>43</v>
      </c>
      <c r="M45" s="1">
        <v>7</v>
      </c>
      <c r="N45" s="1">
        <v>94.533314899999795</v>
      </c>
      <c r="O45" s="1"/>
      <c r="P45" s="1">
        <v>94.5194185</v>
      </c>
      <c r="Q45" s="1">
        <v>94.533314899999795</v>
      </c>
      <c r="R45" s="1">
        <v>95.510852200000897</v>
      </c>
      <c r="S45" s="1">
        <v>95.510852200000897</v>
      </c>
      <c r="T45" s="1">
        <v>95.544170100001693</v>
      </c>
      <c r="U45" s="1">
        <v>96.294543900003106</v>
      </c>
      <c r="V45" s="1" t="s">
        <v>32</v>
      </c>
      <c r="W45" s="1">
        <v>0.78282439999747999</v>
      </c>
      <c r="X45" s="1" t="s">
        <v>33</v>
      </c>
      <c r="Y45" s="1" t="s">
        <v>40</v>
      </c>
      <c r="Z45" s="1">
        <v>1</v>
      </c>
      <c r="AA45" s="1" t="s">
        <v>41</v>
      </c>
      <c r="AB45" s="1" t="s">
        <v>36</v>
      </c>
      <c r="AC45" s="1"/>
      <c r="AD45" s="1" t="s">
        <v>37</v>
      </c>
      <c r="AE45" s="1">
        <v>60.019686456835203</v>
      </c>
      <c r="AF45" s="1" t="s">
        <v>42</v>
      </c>
    </row>
    <row r="46" spans="1:32" x14ac:dyDescent="0.35">
      <c r="A46" s="1">
        <v>49</v>
      </c>
      <c r="B46" s="1">
        <v>60</v>
      </c>
      <c r="C46" s="1">
        <v>89</v>
      </c>
      <c r="D46" s="1">
        <v>44</v>
      </c>
      <c r="E46" s="1">
        <v>4</v>
      </c>
      <c r="F46" s="1">
        <v>4</v>
      </c>
      <c r="G46" s="1" t="s">
        <v>32</v>
      </c>
      <c r="H46" s="1">
        <v>1.2404022000046</v>
      </c>
      <c r="I46" s="1" t="s">
        <v>33</v>
      </c>
      <c r="J46" s="1">
        <v>4</v>
      </c>
      <c r="K46" s="1">
        <v>4</v>
      </c>
      <c r="L46" s="1">
        <v>44</v>
      </c>
      <c r="M46" s="1">
        <v>4</v>
      </c>
      <c r="N46" s="1">
        <v>96.310575000003098</v>
      </c>
      <c r="O46" s="1"/>
      <c r="P46" s="1">
        <v>96.299480600006007</v>
      </c>
      <c r="Q46" s="1">
        <v>96.310575000003098</v>
      </c>
      <c r="R46" s="1">
        <v>97.293696400003597</v>
      </c>
      <c r="S46" s="1">
        <v>97.293696400003597</v>
      </c>
      <c r="T46" s="1">
        <v>97.310422000002205</v>
      </c>
      <c r="U46" s="1">
        <v>98.545615100003403</v>
      </c>
      <c r="V46" s="1" t="s">
        <v>32</v>
      </c>
      <c r="W46" s="1">
        <v>1.2404022000046</v>
      </c>
      <c r="X46" s="1" t="s">
        <v>33</v>
      </c>
      <c r="Y46" s="1" t="s">
        <v>40</v>
      </c>
      <c r="Z46" s="1">
        <v>1</v>
      </c>
      <c r="AA46" s="1" t="s">
        <v>41</v>
      </c>
      <c r="AB46" s="1" t="s">
        <v>36</v>
      </c>
      <c r="AC46" s="1"/>
      <c r="AD46" s="1" t="s">
        <v>37</v>
      </c>
      <c r="AE46" s="1">
        <v>60.019686456835203</v>
      </c>
      <c r="AF46" s="1" t="s">
        <v>42</v>
      </c>
    </row>
    <row r="47" spans="1:32" x14ac:dyDescent="0.35">
      <c r="A47" s="1">
        <v>98</v>
      </c>
      <c r="B47" s="1">
        <v>120</v>
      </c>
      <c r="C47" s="1">
        <v>230</v>
      </c>
      <c r="D47" s="1">
        <v>45</v>
      </c>
      <c r="E47" s="1">
        <v>5</v>
      </c>
      <c r="F47" s="1">
        <v>4</v>
      </c>
      <c r="G47" s="1" t="s">
        <v>32</v>
      </c>
      <c r="H47" s="1">
        <v>0.60682259999884902</v>
      </c>
      <c r="I47" s="1" t="s">
        <v>33</v>
      </c>
      <c r="J47" s="1">
        <v>4</v>
      </c>
      <c r="K47" s="1">
        <v>5</v>
      </c>
      <c r="L47" s="1">
        <v>45</v>
      </c>
      <c r="M47" s="1">
        <v>8</v>
      </c>
      <c r="N47" s="1">
        <v>98.577062300006205</v>
      </c>
      <c r="O47" s="1"/>
      <c r="P47" s="1">
        <v>98.555467500002095</v>
      </c>
      <c r="Q47" s="1">
        <v>98.577062300006205</v>
      </c>
      <c r="R47" s="1">
        <v>99.560176400002007</v>
      </c>
      <c r="S47" s="1">
        <v>99.560176400002007</v>
      </c>
      <c r="T47" s="1">
        <v>99.576935299999604</v>
      </c>
      <c r="U47" s="1">
        <v>100.17736200000201</v>
      </c>
      <c r="V47" s="1" t="s">
        <v>32</v>
      </c>
      <c r="W47" s="1">
        <v>0.60682259999884902</v>
      </c>
      <c r="X47" s="1" t="s">
        <v>33</v>
      </c>
      <c r="Y47" s="1" t="s">
        <v>40</v>
      </c>
      <c r="Z47" s="1">
        <v>1</v>
      </c>
      <c r="AA47" s="1" t="s">
        <v>41</v>
      </c>
      <c r="AB47" s="1" t="s">
        <v>36</v>
      </c>
      <c r="AC47" s="1"/>
      <c r="AD47" s="1" t="s">
        <v>37</v>
      </c>
      <c r="AE47" s="1">
        <v>60.019686456835203</v>
      </c>
      <c r="AF47" s="1" t="s">
        <v>42</v>
      </c>
    </row>
    <row r="48" spans="1:32" x14ac:dyDescent="0.35">
      <c r="A48" s="1">
        <v>11</v>
      </c>
      <c r="B48" s="1">
        <v>30</v>
      </c>
      <c r="C48" s="1">
        <v>7</v>
      </c>
      <c r="D48" s="1">
        <v>46</v>
      </c>
      <c r="E48" s="1">
        <v>6</v>
      </c>
      <c r="F48" s="1">
        <v>4</v>
      </c>
      <c r="G48" s="1" t="s">
        <v>39</v>
      </c>
      <c r="H48" s="1">
        <v>0.79024709999794096</v>
      </c>
      <c r="I48" s="1" t="s">
        <v>33</v>
      </c>
      <c r="J48" s="1">
        <v>4</v>
      </c>
      <c r="K48" s="1">
        <v>6</v>
      </c>
      <c r="L48" s="1">
        <v>46</v>
      </c>
      <c r="M48" s="1">
        <v>0</v>
      </c>
      <c r="N48" s="1">
        <v>100.193547800001</v>
      </c>
      <c r="O48" s="1"/>
      <c r="P48" s="1">
        <v>100.185045000005</v>
      </c>
      <c r="Q48" s="1">
        <v>100.193547800001</v>
      </c>
      <c r="R48" s="1">
        <v>101.17658060000301</v>
      </c>
      <c r="S48" s="1">
        <v>101.17658060000301</v>
      </c>
      <c r="T48" s="1">
        <v>101.193164300006</v>
      </c>
      <c r="U48" s="1">
        <v>101.977259500003</v>
      </c>
      <c r="V48" s="1" t="s">
        <v>39</v>
      </c>
      <c r="W48" s="1">
        <v>0.79024709999794096</v>
      </c>
      <c r="X48" s="1" t="s">
        <v>33</v>
      </c>
      <c r="Y48" s="1" t="s">
        <v>40</v>
      </c>
      <c r="Z48" s="1">
        <v>1</v>
      </c>
      <c r="AA48" s="1" t="s">
        <v>41</v>
      </c>
      <c r="AB48" s="1" t="s">
        <v>36</v>
      </c>
      <c r="AC48" s="1"/>
      <c r="AD48" s="1" t="s">
        <v>37</v>
      </c>
      <c r="AE48" s="1">
        <v>60.019686456835203</v>
      </c>
      <c r="AF48" s="1" t="s">
        <v>42</v>
      </c>
    </row>
    <row r="49" spans="1:32" x14ac:dyDescent="0.35">
      <c r="A49" s="1">
        <v>78</v>
      </c>
      <c r="B49" s="1">
        <v>80</v>
      </c>
      <c r="C49" s="1">
        <v>162</v>
      </c>
      <c r="D49" s="1">
        <v>47</v>
      </c>
      <c r="E49" s="1">
        <v>7</v>
      </c>
      <c r="F49" s="1">
        <v>4</v>
      </c>
      <c r="G49" s="1" t="s">
        <v>32</v>
      </c>
      <c r="H49" s="1">
        <v>0.67502930000046002</v>
      </c>
      <c r="I49" s="1" t="s">
        <v>33</v>
      </c>
      <c r="J49" s="1">
        <v>4</v>
      </c>
      <c r="K49" s="1">
        <v>7</v>
      </c>
      <c r="L49" s="1">
        <v>47</v>
      </c>
      <c r="M49" s="1">
        <v>6</v>
      </c>
      <c r="N49" s="1">
        <v>101.99317900000401</v>
      </c>
      <c r="O49" s="1"/>
      <c r="P49" s="1">
        <v>101.983820600005</v>
      </c>
      <c r="Q49" s="1">
        <v>101.99317900000401</v>
      </c>
      <c r="R49" s="1">
        <v>102.976373800003</v>
      </c>
      <c r="S49" s="1">
        <v>102.976373800003</v>
      </c>
      <c r="T49" s="1">
        <v>102.99297360000401</v>
      </c>
      <c r="U49" s="1">
        <v>103.66029560000599</v>
      </c>
      <c r="V49" s="1" t="s">
        <v>32</v>
      </c>
      <c r="W49" s="1">
        <v>0.67502930000046002</v>
      </c>
      <c r="X49" s="1" t="s">
        <v>33</v>
      </c>
      <c r="Y49" s="1" t="s">
        <v>40</v>
      </c>
      <c r="Z49" s="1">
        <v>1</v>
      </c>
      <c r="AA49" s="1" t="s">
        <v>41</v>
      </c>
      <c r="AB49" s="1" t="s">
        <v>36</v>
      </c>
      <c r="AC49" s="1"/>
      <c r="AD49" s="1" t="s">
        <v>37</v>
      </c>
      <c r="AE49" s="1">
        <v>60.019686456835203</v>
      </c>
      <c r="AF49" s="1" t="s">
        <v>42</v>
      </c>
    </row>
    <row r="50" spans="1:32" x14ac:dyDescent="0.35">
      <c r="A50" s="1">
        <v>40</v>
      </c>
      <c r="B50" s="1">
        <v>55</v>
      </c>
      <c r="C50" s="1">
        <v>62</v>
      </c>
      <c r="D50" s="1">
        <v>48</v>
      </c>
      <c r="E50" s="1">
        <v>8</v>
      </c>
      <c r="F50" s="1">
        <v>4</v>
      </c>
      <c r="G50" s="1" t="s">
        <v>32</v>
      </c>
      <c r="H50" s="1">
        <v>0.66564629999629599</v>
      </c>
      <c r="I50" s="1" t="s">
        <v>33</v>
      </c>
      <c r="J50" s="1">
        <v>4</v>
      </c>
      <c r="K50" s="1">
        <v>8</v>
      </c>
      <c r="L50" s="1">
        <v>48</v>
      </c>
      <c r="M50" s="1">
        <v>3</v>
      </c>
      <c r="N50" s="1">
        <v>103.67610029999901</v>
      </c>
      <c r="O50" s="1"/>
      <c r="P50" s="1">
        <v>103.668472800003</v>
      </c>
      <c r="Q50" s="1">
        <v>103.67610029999901</v>
      </c>
      <c r="R50" s="1">
        <v>104.659438100003</v>
      </c>
      <c r="S50" s="1">
        <v>104.659438100003</v>
      </c>
      <c r="T50" s="1">
        <v>104.675997800004</v>
      </c>
      <c r="U50" s="1">
        <v>105.32727780000199</v>
      </c>
      <c r="V50" s="1" t="s">
        <v>32</v>
      </c>
      <c r="W50" s="1">
        <v>0.66564629999629599</v>
      </c>
      <c r="X50" s="1" t="s">
        <v>33</v>
      </c>
      <c r="Y50" s="1" t="s">
        <v>40</v>
      </c>
      <c r="Z50" s="1">
        <v>1</v>
      </c>
      <c r="AA50" s="1" t="s">
        <v>41</v>
      </c>
      <c r="AB50" s="1" t="s">
        <v>36</v>
      </c>
      <c r="AC50" s="1"/>
      <c r="AD50" s="1" t="s">
        <v>37</v>
      </c>
      <c r="AE50" s="1">
        <v>60.019686456835203</v>
      </c>
      <c r="AF50" s="1" t="s">
        <v>42</v>
      </c>
    </row>
    <row r="51" spans="1:32" x14ac:dyDescent="0.35">
      <c r="A51" s="1">
        <v>67</v>
      </c>
      <c r="B51" s="1">
        <v>75</v>
      </c>
      <c r="C51" s="1">
        <v>119</v>
      </c>
      <c r="D51" s="1">
        <v>49</v>
      </c>
      <c r="E51" s="1">
        <v>9</v>
      </c>
      <c r="F51" s="1">
        <v>4</v>
      </c>
      <c r="G51" s="1" t="s">
        <v>32</v>
      </c>
      <c r="H51" s="1">
        <v>1.8438907999952701</v>
      </c>
      <c r="I51" s="1" t="s">
        <v>33</v>
      </c>
      <c r="J51" s="1">
        <v>4</v>
      </c>
      <c r="K51" s="1">
        <v>9</v>
      </c>
      <c r="L51" s="1">
        <v>49</v>
      </c>
      <c r="M51" s="1">
        <v>5</v>
      </c>
      <c r="N51" s="1">
        <v>105.342898499999</v>
      </c>
      <c r="O51" s="1"/>
      <c r="P51" s="1">
        <v>105.33290890000301</v>
      </c>
      <c r="Q51" s="1">
        <v>105.342898499999</v>
      </c>
      <c r="R51" s="1">
        <v>106.34274670000001</v>
      </c>
      <c r="S51" s="1">
        <v>106.34274670000001</v>
      </c>
      <c r="T51" s="1">
        <v>106.34274670000001</v>
      </c>
      <c r="U51" s="1">
        <v>108.192787300002</v>
      </c>
      <c r="V51" s="1" t="s">
        <v>32</v>
      </c>
      <c r="W51" s="1">
        <v>1.8438907999952701</v>
      </c>
      <c r="X51" s="1" t="s">
        <v>33</v>
      </c>
      <c r="Y51" s="1" t="s">
        <v>40</v>
      </c>
      <c r="Z51" s="1">
        <v>1</v>
      </c>
      <c r="AA51" s="1" t="s">
        <v>41</v>
      </c>
      <c r="AB51" s="1" t="s">
        <v>36</v>
      </c>
      <c r="AC51" s="1"/>
      <c r="AD51" s="1" t="s">
        <v>37</v>
      </c>
      <c r="AE51" s="1">
        <v>60.019686456835203</v>
      </c>
      <c r="AF51" s="1" t="s">
        <v>42</v>
      </c>
    </row>
    <row r="52" spans="1:32" x14ac:dyDescent="0.35">
      <c r="A52" s="1">
        <v>110</v>
      </c>
      <c r="B52" s="1">
        <v>135</v>
      </c>
      <c r="C52" s="1">
        <v>270</v>
      </c>
      <c r="D52" s="1">
        <v>50</v>
      </c>
      <c r="E52" s="1">
        <v>0</v>
      </c>
      <c r="F52" s="1">
        <v>5</v>
      </c>
      <c r="G52" s="1" t="s">
        <v>32</v>
      </c>
      <c r="H52" s="1">
        <v>3.1529731999980801</v>
      </c>
      <c r="I52" s="1" t="s">
        <v>33</v>
      </c>
      <c r="J52" s="1">
        <v>5</v>
      </c>
      <c r="K52" s="1">
        <v>0</v>
      </c>
      <c r="L52" s="1">
        <v>50</v>
      </c>
      <c r="M52" s="1">
        <v>9</v>
      </c>
      <c r="N52" s="1">
        <v>108.20852970000099</v>
      </c>
      <c r="O52" s="1"/>
      <c r="P52" s="1">
        <v>108.2007725</v>
      </c>
      <c r="Q52" s="1">
        <v>108.20852970000099</v>
      </c>
      <c r="R52" s="1">
        <v>109.208446299999</v>
      </c>
      <c r="S52" s="1">
        <v>109.208446299999</v>
      </c>
      <c r="T52" s="1">
        <v>109.208446299999</v>
      </c>
      <c r="U52" s="1">
        <v>112.375397700001</v>
      </c>
      <c r="V52" s="1" t="s">
        <v>32</v>
      </c>
      <c r="W52" s="1">
        <v>3.1529731999980801</v>
      </c>
      <c r="X52" s="1" t="s">
        <v>33</v>
      </c>
      <c r="Y52" s="1" t="s">
        <v>40</v>
      </c>
      <c r="Z52" s="1">
        <v>1</v>
      </c>
      <c r="AA52" s="1" t="s">
        <v>41</v>
      </c>
      <c r="AB52" s="1" t="s">
        <v>36</v>
      </c>
      <c r="AC52" s="1"/>
      <c r="AD52" s="1" t="s">
        <v>37</v>
      </c>
      <c r="AE52" s="1">
        <v>60.019686456835203</v>
      </c>
      <c r="AF52" s="1" t="s">
        <v>42</v>
      </c>
    </row>
    <row r="53" spans="1:32" x14ac:dyDescent="0.35">
      <c r="A53" s="1">
        <v>27</v>
      </c>
      <c r="B53" s="1">
        <v>50</v>
      </c>
      <c r="C53" s="1">
        <v>21</v>
      </c>
      <c r="D53" s="1">
        <v>51</v>
      </c>
      <c r="E53" s="1">
        <v>1</v>
      </c>
      <c r="F53" s="1">
        <v>5</v>
      </c>
      <c r="G53" s="1" t="s">
        <v>32</v>
      </c>
      <c r="H53" s="1">
        <v>3.8058286000014001</v>
      </c>
      <c r="I53" s="1" t="s">
        <v>33</v>
      </c>
      <c r="J53" s="1">
        <v>5</v>
      </c>
      <c r="K53" s="1">
        <v>1</v>
      </c>
      <c r="L53" s="1">
        <v>51</v>
      </c>
      <c r="M53" s="1">
        <v>2</v>
      </c>
      <c r="N53" s="1">
        <v>112.391749400005</v>
      </c>
      <c r="O53" s="1"/>
      <c r="P53" s="1">
        <v>112.381004599999</v>
      </c>
      <c r="Q53" s="1">
        <v>112.391749400005</v>
      </c>
      <c r="R53" s="1">
        <v>113.37546149999901</v>
      </c>
      <c r="S53" s="1">
        <v>113.37546149999901</v>
      </c>
      <c r="T53" s="1">
        <v>113.39199590000401</v>
      </c>
      <c r="U53" s="1">
        <v>117.19146280000101</v>
      </c>
      <c r="V53" s="1" t="s">
        <v>32</v>
      </c>
      <c r="W53" s="1">
        <v>3.8058286000014001</v>
      </c>
      <c r="X53" s="1" t="s">
        <v>33</v>
      </c>
      <c r="Y53" s="1" t="s">
        <v>40</v>
      </c>
      <c r="Z53" s="1">
        <v>1</v>
      </c>
      <c r="AA53" s="1" t="s">
        <v>41</v>
      </c>
      <c r="AB53" s="1" t="s">
        <v>36</v>
      </c>
      <c r="AC53" s="1"/>
      <c r="AD53" s="1" t="s">
        <v>37</v>
      </c>
      <c r="AE53" s="1">
        <v>60.019686456835203</v>
      </c>
      <c r="AF53" s="1" t="s">
        <v>42</v>
      </c>
    </row>
    <row r="54" spans="1:32" x14ac:dyDescent="0.35">
      <c r="A54" s="1">
        <v>98</v>
      </c>
      <c r="B54" s="1">
        <v>120</v>
      </c>
      <c r="C54" s="1">
        <v>230</v>
      </c>
      <c r="D54" s="1">
        <v>52</v>
      </c>
      <c r="E54" s="1">
        <v>2</v>
      </c>
      <c r="F54" s="1">
        <v>5</v>
      </c>
      <c r="G54" s="1" t="s">
        <v>32</v>
      </c>
      <c r="H54" s="1">
        <v>0.74762999999802504</v>
      </c>
      <c r="I54" s="1" t="s">
        <v>33</v>
      </c>
      <c r="J54" s="1">
        <v>5</v>
      </c>
      <c r="K54" s="1">
        <v>2</v>
      </c>
      <c r="L54" s="1">
        <v>52</v>
      </c>
      <c r="M54" s="1">
        <v>8</v>
      </c>
      <c r="N54" s="1">
        <v>117.207214000001</v>
      </c>
      <c r="O54" s="1"/>
      <c r="P54" s="1">
        <v>117.199670300004</v>
      </c>
      <c r="Q54" s="1">
        <v>117.207214000001</v>
      </c>
      <c r="R54" s="1">
        <v>118.207137000004</v>
      </c>
      <c r="S54" s="1">
        <v>118.207137000004</v>
      </c>
      <c r="T54" s="1">
        <v>118.207137000004</v>
      </c>
      <c r="U54" s="1">
        <v>118.958064000005</v>
      </c>
      <c r="V54" s="1" t="s">
        <v>32</v>
      </c>
      <c r="W54" s="1">
        <v>0.74762999999802504</v>
      </c>
      <c r="X54" s="1" t="s">
        <v>33</v>
      </c>
      <c r="Y54" s="1" t="s">
        <v>40</v>
      </c>
      <c r="Z54" s="1">
        <v>1</v>
      </c>
      <c r="AA54" s="1" t="s">
        <v>41</v>
      </c>
      <c r="AB54" s="1" t="s">
        <v>36</v>
      </c>
      <c r="AC54" s="1"/>
      <c r="AD54" s="1" t="s">
        <v>37</v>
      </c>
      <c r="AE54" s="1">
        <v>60.019686456835203</v>
      </c>
      <c r="AF54" s="1" t="s">
        <v>42</v>
      </c>
    </row>
    <row r="55" spans="1:32" x14ac:dyDescent="0.35">
      <c r="A55" s="1">
        <v>15</v>
      </c>
      <c r="B55" s="1">
        <v>35</v>
      </c>
      <c r="C55" s="1">
        <v>13</v>
      </c>
      <c r="D55" s="1">
        <v>53</v>
      </c>
      <c r="E55" s="1">
        <v>3</v>
      </c>
      <c r="F55" s="1">
        <v>5</v>
      </c>
      <c r="G55" s="1" t="s">
        <v>39</v>
      </c>
      <c r="H55" s="1">
        <v>0.54131060000509001</v>
      </c>
      <c r="I55" s="1" t="s">
        <v>33</v>
      </c>
      <c r="J55" s="1">
        <v>5</v>
      </c>
      <c r="K55" s="1">
        <v>3</v>
      </c>
      <c r="L55" s="1">
        <v>53</v>
      </c>
      <c r="M55" s="1">
        <v>1</v>
      </c>
      <c r="N55" s="1">
        <v>118.99049909999999</v>
      </c>
      <c r="O55" s="1"/>
      <c r="P55" s="1">
        <v>118.969079800001</v>
      </c>
      <c r="Q55" s="1">
        <v>118.99049909999999</v>
      </c>
      <c r="R55" s="1">
        <v>119.973488800002</v>
      </c>
      <c r="S55" s="1">
        <v>119.973488800002</v>
      </c>
      <c r="T55" s="1">
        <v>119.990468700001</v>
      </c>
      <c r="U55" s="1">
        <v>120.524738600004</v>
      </c>
      <c r="V55" s="1" t="s">
        <v>39</v>
      </c>
      <c r="W55" s="1">
        <v>0.54131060000509001</v>
      </c>
      <c r="X55" s="1" t="s">
        <v>33</v>
      </c>
      <c r="Y55" s="1" t="s">
        <v>40</v>
      </c>
      <c r="Z55" s="1">
        <v>1</v>
      </c>
      <c r="AA55" s="1" t="s">
        <v>41</v>
      </c>
      <c r="AB55" s="1" t="s">
        <v>36</v>
      </c>
      <c r="AC55" s="1"/>
      <c r="AD55" s="1" t="s">
        <v>37</v>
      </c>
      <c r="AE55" s="1">
        <v>60.019686456835203</v>
      </c>
      <c r="AF55" s="1" t="s">
        <v>42</v>
      </c>
    </row>
    <row r="56" spans="1:32" x14ac:dyDescent="0.35">
      <c r="A56" s="1">
        <v>88</v>
      </c>
      <c r="B56" s="1">
        <v>105</v>
      </c>
      <c r="C56" s="1">
        <v>200</v>
      </c>
      <c r="D56" s="1">
        <v>54</v>
      </c>
      <c r="E56" s="1">
        <v>4</v>
      </c>
      <c r="F56" s="1">
        <v>5</v>
      </c>
      <c r="G56" s="1" t="s">
        <v>32</v>
      </c>
      <c r="H56" s="1">
        <v>0.80742499999905704</v>
      </c>
      <c r="I56" s="1" t="s">
        <v>33</v>
      </c>
      <c r="J56" s="1">
        <v>5</v>
      </c>
      <c r="K56" s="1">
        <v>4</v>
      </c>
      <c r="L56" s="1">
        <v>54</v>
      </c>
      <c r="M56" s="1">
        <v>7</v>
      </c>
      <c r="N56" s="1">
        <v>120.539909700004</v>
      </c>
      <c r="O56" s="1"/>
      <c r="P56" s="1">
        <v>120.531506500003</v>
      </c>
      <c r="Q56" s="1">
        <v>120.539909700004</v>
      </c>
      <c r="R56" s="1">
        <v>121.54061880000501</v>
      </c>
      <c r="S56" s="1">
        <v>121.54061880000501</v>
      </c>
      <c r="T56" s="1">
        <v>121.54061880000501</v>
      </c>
      <c r="U56" s="1">
        <v>122.35752470000401</v>
      </c>
      <c r="V56" s="1" t="s">
        <v>32</v>
      </c>
      <c r="W56" s="1">
        <v>0.80742499999905704</v>
      </c>
      <c r="X56" s="1" t="s">
        <v>33</v>
      </c>
      <c r="Y56" s="1" t="s">
        <v>40</v>
      </c>
      <c r="Z56" s="1">
        <v>1</v>
      </c>
      <c r="AA56" s="1" t="s">
        <v>41</v>
      </c>
      <c r="AB56" s="1" t="s">
        <v>36</v>
      </c>
      <c r="AC56" s="1"/>
      <c r="AD56" s="1" t="s">
        <v>37</v>
      </c>
      <c r="AE56" s="1">
        <v>60.019686456835203</v>
      </c>
      <c r="AF56" s="1" t="s">
        <v>42</v>
      </c>
    </row>
    <row r="57" spans="1:32" x14ac:dyDescent="0.35">
      <c r="A57" s="1">
        <v>78</v>
      </c>
      <c r="B57" s="1">
        <v>80</v>
      </c>
      <c r="C57" s="1">
        <v>162</v>
      </c>
      <c r="D57" s="1">
        <v>55</v>
      </c>
      <c r="E57" s="1">
        <v>5</v>
      </c>
      <c r="F57" s="1">
        <v>5</v>
      </c>
      <c r="G57" s="1" t="s">
        <v>32</v>
      </c>
      <c r="H57" s="1">
        <v>0.58362280000437705</v>
      </c>
      <c r="I57" s="1" t="s">
        <v>33</v>
      </c>
      <c r="J57" s="1">
        <v>5</v>
      </c>
      <c r="K57" s="1">
        <v>5</v>
      </c>
      <c r="L57" s="1">
        <v>55</v>
      </c>
      <c r="M57" s="1">
        <v>6</v>
      </c>
      <c r="N57" s="1">
        <v>122.3739862</v>
      </c>
      <c r="O57" s="1"/>
      <c r="P57" s="1">
        <v>122.361877100003</v>
      </c>
      <c r="Q57" s="1">
        <v>122.3739862</v>
      </c>
      <c r="R57" s="1">
        <v>123.373456000001</v>
      </c>
      <c r="S57" s="1">
        <v>123.373456000001</v>
      </c>
      <c r="T57" s="1">
        <v>123.373456000001</v>
      </c>
      <c r="U57" s="1">
        <v>123.9740189</v>
      </c>
      <c r="V57" s="1" t="s">
        <v>32</v>
      </c>
      <c r="W57" s="1">
        <v>0.58362280000437705</v>
      </c>
      <c r="X57" s="1" t="s">
        <v>33</v>
      </c>
      <c r="Y57" s="1" t="s">
        <v>40</v>
      </c>
      <c r="Z57" s="1">
        <v>1</v>
      </c>
      <c r="AA57" s="1" t="s">
        <v>41</v>
      </c>
      <c r="AB57" s="1" t="s">
        <v>36</v>
      </c>
      <c r="AC57" s="1"/>
      <c r="AD57" s="1" t="s">
        <v>37</v>
      </c>
      <c r="AE57" s="1">
        <v>60.019686456835203</v>
      </c>
      <c r="AF57" s="1" t="s">
        <v>42</v>
      </c>
    </row>
    <row r="58" spans="1:32" x14ac:dyDescent="0.35">
      <c r="A58" s="1">
        <v>40</v>
      </c>
      <c r="B58" s="1">
        <v>55</v>
      </c>
      <c r="C58" s="1">
        <v>62</v>
      </c>
      <c r="D58" s="1">
        <v>56</v>
      </c>
      <c r="E58" s="1">
        <v>6</v>
      </c>
      <c r="F58" s="1">
        <v>5</v>
      </c>
      <c r="G58" s="1" t="s">
        <v>32</v>
      </c>
      <c r="H58" s="1">
        <v>1.21279459999641</v>
      </c>
      <c r="I58" s="1" t="s">
        <v>33</v>
      </c>
      <c r="J58" s="1">
        <v>5</v>
      </c>
      <c r="K58" s="1">
        <v>6</v>
      </c>
      <c r="L58" s="1">
        <v>56</v>
      </c>
      <c r="M58" s="1">
        <v>3</v>
      </c>
      <c r="N58" s="1">
        <v>123.989549500001</v>
      </c>
      <c r="O58" s="1"/>
      <c r="P58" s="1">
        <v>123.981519500004</v>
      </c>
      <c r="Q58" s="1">
        <v>123.989549500001</v>
      </c>
      <c r="R58" s="1">
        <v>124.989275899999</v>
      </c>
      <c r="S58" s="1">
        <v>124.989275899999</v>
      </c>
      <c r="T58" s="1">
        <v>124.989275899999</v>
      </c>
      <c r="U58" s="1">
        <v>126.20672240000501</v>
      </c>
      <c r="V58" s="1" t="s">
        <v>32</v>
      </c>
      <c r="W58" s="1">
        <v>1.21279459999641</v>
      </c>
      <c r="X58" s="1" t="s">
        <v>33</v>
      </c>
      <c r="Y58" s="1" t="s">
        <v>40</v>
      </c>
      <c r="Z58" s="1">
        <v>1</v>
      </c>
      <c r="AA58" s="1" t="s">
        <v>41</v>
      </c>
      <c r="AB58" s="1" t="s">
        <v>36</v>
      </c>
      <c r="AC58" s="1"/>
      <c r="AD58" s="1" t="s">
        <v>37</v>
      </c>
      <c r="AE58" s="1">
        <v>60.019686456835203</v>
      </c>
      <c r="AF58" s="1" t="s">
        <v>42</v>
      </c>
    </row>
    <row r="59" spans="1:32" x14ac:dyDescent="0.35">
      <c r="A59" s="1">
        <v>49</v>
      </c>
      <c r="B59" s="1">
        <v>60</v>
      </c>
      <c r="C59" s="1">
        <v>89</v>
      </c>
      <c r="D59" s="1">
        <v>57</v>
      </c>
      <c r="E59" s="1">
        <v>7</v>
      </c>
      <c r="F59" s="1">
        <v>5</v>
      </c>
      <c r="G59" s="1" t="s">
        <v>32</v>
      </c>
      <c r="H59" s="1">
        <v>0.52255410000361702</v>
      </c>
      <c r="I59" s="1" t="s">
        <v>33</v>
      </c>
      <c r="J59" s="1">
        <v>5</v>
      </c>
      <c r="K59" s="1">
        <v>7</v>
      </c>
      <c r="L59" s="1">
        <v>57</v>
      </c>
      <c r="M59" s="1">
        <v>4</v>
      </c>
      <c r="N59" s="1">
        <v>126.222514</v>
      </c>
      <c r="O59" s="1"/>
      <c r="P59" s="1">
        <v>126.211598600006</v>
      </c>
      <c r="Q59" s="1">
        <v>126.222514</v>
      </c>
      <c r="R59" s="1">
        <v>127.2221785</v>
      </c>
      <c r="S59" s="1">
        <v>127.2221785</v>
      </c>
      <c r="T59" s="1">
        <v>127.2221785</v>
      </c>
      <c r="U59" s="1">
        <v>127.75623220000099</v>
      </c>
      <c r="V59" s="1" t="s">
        <v>32</v>
      </c>
      <c r="W59" s="1">
        <v>0.52255410000361702</v>
      </c>
      <c r="X59" s="1" t="s">
        <v>33</v>
      </c>
      <c r="Y59" s="1" t="s">
        <v>40</v>
      </c>
      <c r="Z59" s="1">
        <v>1</v>
      </c>
      <c r="AA59" s="1" t="s">
        <v>41</v>
      </c>
      <c r="AB59" s="1" t="s">
        <v>36</v>
      </c>
      <c r="AC59" s="1"/>
      <c r="AD59" s="1" t="s">
        <v>37</v>
      </c>
      <c r="AE59" s="1">
        <v>60.019686456835203</v>
      </c>
      <c r="AF59" s="1" t="s">
        <v>42</v>
      </c>
    </row>
    <row r="60" spans="1:32" x14ac:dyDescent="0.35">
      <c r="A60" s="1">
        <v>11</v>
      </c>
      <c r="B60" s="1">
        <v>30</v>
      </c>
      <c r="C60" s="1">
        <v>7</v>
      </c>
      <c r="D60" s="1">
        <v>58</v>
      </c>
      <c r="E60" s="1">
        <v>8</v>
      </c>
      <c r="F60" s="1">
        <v>5</v>
      </c>
      <c r="G60" s="1" t="s">
        <v>39</v>
      </c>
      <c r="H60" s="1">
        <v>0.92080859999987297</v>
      </c>
      <c r="I60" s="1" t="s">
        <v>33</v>
      </c>
      <c r="J60" s="1">
        <v>5</v>
      </c>
      <c r="K60" s="1">
        <v>8</v>
      </c>
      <c r="L60" s="1">
        <v>58</v>
      </c>
      <c r="M60" s="1">
        <v>0</v>
      </c>
      <c r="N60" s="1">
        <v>127.77241260000299</v>
      </c>
      <c r="O60" s="1"/>
      <c r="P60" s="1">
        <v>127.763989500002</v>
      </c>
      <c r="Q60" s="1">
        <v>127.77241260000299</v>
      </c>
      <c r="R60" s="1">
        <v>128.755612100001</v>
      </c>
      <c r="S60" s="1">
        <v>128.755612100001</v>
      </c>
      <c r="T60" s="1">
        <v>128.77210090000099</v>
      </c>
      <c r="U60" s="1">
        <v>129.689598900004</v>
      </c>
      <c r="V60" s="1" t="s">
        <v>39</v>
      </c>
      <c r="W60" s="1">
        <v>0.92080859999987297</v>
      </c>
      <c r="X60" s="1" t="s">
        <v>33</v>
      </c>
      <c r="Y60" s="1" t="s">
        <v>40</v>
      </c>
      <c r="Z60" s="1">
        <v>1</v>
      </c>
      <c r="AA60" s="1" t="s">
        <v>41</v>
      </c>
      <c r="AB60" s="1" t="s">
        <v>36</v>
      </c>
      <c r="AC60" s="1"/>
      <c r="AD60" s="1" t="s">
        <v>37</v>
      </c>
      <c r="AE60" s="1">
        <v>60.019686456835203</v>
      </c>
      <c r="AF60" s="1" t="s">
        <v>42</v>
      </c>
    </row>
    <row r="61" spans="1:32" x14ac:dyDescent="0.35">
      <c r="A61" s="1">
        <v>67</v>
      </c>
      <c r="B61" s="1">
        <v>75</v>
      </c>
      <c r="C61" s="1">
        <v>119</v>
      </c>
      <c r="D61" s="1">
        <v>59</v>
      </c>
      <c r="E61" s="1">
        <v>9</v>
      </c>
      <c r="F61" s="1">
        <v>5</v>
      </c>
      <c r="G61" s="1" t="s">
        <v>32</v>
      </c>
      <c r="H61" s="1">
        <v>0.48655289999442097</v>
      </c>
      <c r="I61" s="1" t="s">
        <v>33</v>
      </c>
      <c r="J61" s="1">
        <v>5</v>
      </c>
      <c r="K61" s="1">
        <v>9</v>
      </c>
      <c r="L61" s="1">
        <v>59</v>
      </c>
      <c r="M61" s="1">
        <v>5</v>
      </c>
      <c r="N61" s="1">
        <v>129.705219800001</v>
      </c>
      <c r="O61" s="1"/>
      <c r="P61" s="1">
        <v>129.69516350000001</v>
      </c>
      <c r="Q61" s="1">
        <v>129.705219800001</v>
      </c>
      <c r="R61" s="1">
        <v>130.705111300005</v>
      </c>
      <c r="S61" s="1">
        <v>130.705111300005</v>
      </c>
      <c r="T61" s="1">
        <v>130.705111300005</v>
      </c>
      <c r="U61" s="1">
        <v>131.20562920000501</v>
      </c>
      <c r="V61" s="1" t="s">
        <v>32</v>
      </c>
      <c r="W61" s="1">
        <v>0.48655289999442097</v>
      </c>
      <c r="X61" s="1" t="s">
        <v>33</v>
      </c>
      <c r="Y61" s="1" t="s">
        <v>40</v>
      </c>
      <c r="Z61" s="1">
        <v>1</v>
      </c>
      <c r="AA61" s="1" t="s">
        <v>41</v>
      </c>
      <c r="AB61" s="1" t="s">
        <v>36</v>
      </c>
      <c r="AC61" s="1"/>
      <c r="AD61" s="1" t="s">
        <v>37</v>
      </c>
      <c r="AE61" s="1">
        <v>60.019686456835203</v>
      </c>
      <c r="AF61" s="1" t="s">
        <v>42</v>
      </c>
    </row>
    <row r="62" spans="1:32" x14ac:dyDescent="0.35">
      <c r="A62" s="1">
        <v>15</v>
      </c>
      <c r="B62" s="1">
        <v>35</v>
      </c>
      <c r="C62" s="1">
        <v>13</v>
      </c>
      <c r="D62" s="1">
        <v>60</v>
      </c>
      <c r="E62" s="1">
        <v>0</v>
      </c>
      <c r="F62" s="1">
        <v>6</v>
      </c>
      <c r="G62" s="1" t="s">
        <v>39</v>
      </c>
      <c r="H62" s="1">
        <v>0.80133380000188403</v>
      </c>
      <c r="I62" s="1" t="s">
        <v>33</v>
      </c>
      <c r="J62" s="1">
        <v>6</v>
      </c>
      <c r="K62" s="1">
        <v>0</v>
      </c>
      <c r="L62" s="1">
        <v>60</v>
      </c>
      <c r="M62" s="1">
        <v>1</v>
      </c>
      <c r="N62" s="1">
        <v>131.22161740000499</v>
      </c>
      <c r="O62" s="1"/>
      <c r="P62" s="1">
        <v>131.212520400004</v>
      </c>
      <c r="Q62" s="1">
        <v>131.22161740000499</v>
      </c>
      <c r="R62" s="1">
        <v>132.20524710000601</v>
      </c>
      <c r="S62" s="1">
        <v>132.20524710000601</v>
      </c>
      <c r="T62" s="1">
        <v>132.221589500004</v>
      </c>
      <c r="U62" s="1">
        <v>133.022186599999</v>
      </c>
      <c r="V62" s="1" t="s">
        <v>39</v>
      </c>
      <c r="W62" s="1">
        <v>0.80133380000188403</v>
      </c>
      <c r="X62" s="1" t="s">
        <v>33</v>
      </c>
      <c r="Y62" s="1" t="s">
        <v>40</v>
      </c>
      <c r="Z62" s="1">
        <v>1</v>
      </c>
      <c r="AA62" s="1" t="s">
        <v>41</v>
      </c>
      <c r="AB62" s="1" t="s">
        <v>36</v>
      </c>
      <c r="AC62" s="1"/>
      <c r="AD62" s="1" t="s">
        <v>37</v>
      </c>
      <c r="AE62" s="1">
        <v>60.019686456835203</v>
      </c>
      <c r="AF62" s="1" t="s">
        <v>42</v>
      </c>
    </row>
    <row r="63" spans="1:32" x14ac:dyDescent="0.35">
      <c r="A63" s="1">
        <v>40</v>
      </c>
      <c r="B63" s="1">
        <v>55</v>
      </c>
      <c r="C63" s="1">
        <v>62</v>
      </c>
      <c r="D63" s="1">
        <v>61</v>
      </c>
      <c r="E63" s="1">
        <v>1</v>
      </c>
      <c r="F63" s="1">
        <v>6</v>
      </c>
      <c r="G63" s="1" t="s">
        <v>32</v>
      </c>
      <c r="H63" s="1">
        <v>0.50777979999838796</v>
      </c>
      <c r="I63" s="1" t="s">
        <v>33</v>
      </c>
      <c r="J63" s="1">
        <v>6</v>
      </c>
      <c r="K63" s="1">
        <v>1</v>
      </c>
      <c r="L63" s="1">
        <v>61</v>
      </c>
      <c r="M63" s="1">
        <v>3</v>
      </c>
      <c r="N63" s="1">
        <v>133.03785220000199</v>
      </c>
      <c r="O63" s="1"/>
      <c r="P63" s="1">
        <v>133.02960150000499</v>
      </c>
      <c r="Q63" s="1">
        <v>133.03785220000199</v>
      </c>
      <c r="R63" s="1">
        <v>134.03772890000201</v>
      </c>
      <c r="S63" s="1">
        <v>134.03772890000201</v>
      </c>
      <c r="T63" s="1">
        <v>134.03772890000201</v>
      </c>
      <c r="U63" s="1">
        <v>134.555271500001</v>
      </c>
      <c r="V63" s="1" t="s">
        <v>32</v>
      </c>
      <c r="W63" s="1">
        <v>0.50777979999838796</v>
      </c>
      <c r="X63" s="1" t="s">
        <v>33</v>
      </c>
      <c r="Y63" s="1" t="s">
        <v>40</v>
      </c>
      <c r="Z63" s="1">
        <v>1</v>
      </c>
      <c r="AA63" s="1" t="s">
        <v>41</v>
      </c>
      <c r="AB63" s="1" t="s">
        <v>36</v>
      </c>
      <c r="AC63" s="1"/>
      <c r="AD63" s="1" t="s">
        <v>37</v>
      </c>
      <c r="AE63" s="1">
        <v>60.019686456835203</v>
      </c>
      <c r="AF63" s="1" t="s">
        <v>42</v>
      </c>
    </row>
    <row r="64" spans="1:32" x14ac:dyDescent="0.35">
      <c r="A64" s="1">
        <v>88</v>
      </c>
      <c r="B64" s="1">
        <v>105</v>
      </c>
      <c r="C64" s="1">
        <v>200</v>
      </c>
      <c r="D64" s="1">
        <v>62</v>
      </c>
      <c r="E64" s="1">
        <v>2</v>
      </c>
      <c r="F64" s="1">
        <v>6</v>
      </c>
      <c r="G64" s="1" t="s">
        <v>32</v>
      </c>
      <c r="H64" s="1">
        <v>0.68835260000196197</v>
      </c>
      <c r="I64" s="1" t="s">
        <v>33</v>
      </c>
      <c r="J64" s="1">
        <v>6</v>
      </c>
      <c r="K64" s="1">
        <v>2</v>
      </c>
      <c r="L64" s="1">
        <v>62</v>
      </c>
      <c r="M64" s="1">
        <v>7</v>
      </c>
      <c r="N64" s="1">
        <v>134.5878372</v>
      </c>
      <c r="O64" s="1"/>
      <c r="P64" s="1">
        <v>134.563551800005</v>
      </c>
      <c r="Q64" s="1">
        <v>134.5878372</v>
      </c>
      <c r="R64" s="1">
        <v>135.57107720000201</v>
      </c>
      <c r="S64" s="1">
        <v>135.57107720000201</v>
      </c>
      <c r="T64" s="1">
        <v>135.58752400000199</v>
      </c>
      <c r="U64" s="1">
        <v>136.27158900000299</v>
      </c>
      <c r="V64" s="1" t="s">
        <v>32</v>
      </c>
      <c r="W64" s="1">
        <v>0.68835260000196197</v>
      </c>
      <c r="X64" s="1" t="s">
        <v>33</v>
      </c>
      <c r="Y64" s="1" t="s">
        <v>40</v>
      </c>
      <c r="Z64" s="1">
        <v>1</v>
      </c>
      <c r="AA64" s="1" t="s">
        <v>41</v>
      </c>
      <c r="AB64" s="1" t="s">
        <v>36</v>
      </c>
      <c r="AC64" s="1"/>
      <c r="AD64" s="1" t="s">
        <v>37</v>
      </c>
      <c r="AE64" s="1">
        <v>60.019686456835203</v>
      </c>
      <c r="AF64" s="1" t="s">
        <v>42</v>
      </c>
    </row>
    <row r="65" spans="1:32" x14ac:dyDescent="0.35">
      <c r="A65" s="1">
        <v>110</v>
      </c>
      <c r="B65" s="1">
        <v>135</v>
      </c>
      <c r="C65" s="1">
        <v>270</v>
      </c>
      <c r="D65" s="1">
        <v>63</v>
      </c>
      <c r="E65" s="1">
        <v>3</v>
      </c>
      <c r="F65" s="1">
        <v>6</v>
      </c>
      <c r="G65" s="1" t="s">
        <v>32</v>
      </c>
      <c r="H65" s="1">
        <v>0.70314059999509404</v>
      </c>
      <c r="I65" s="1" t="s">
        <v>33</v>
      </c>
      <c r="J65" s="1">
        <v>6</v>
      </c>
      <c r="K65" s="1">
        <v>3</v>
      </c>
      <c r="L65" s="1">
        <v>63</v>
      </c>
      <c r="M65" s="1">
        <v>9</v>
      </c>
      <c r="N65" s="1">
        <v>136.304113400001</v>
      </c>
      <c r="O65" s="1"/>
      <c r="P65" s="1">
        <v>136.286406900006</v>
      </c>
      <c r="Q65" s="1">
        <v>136.304113400001</v>
      </c>
      <c r="R65" s="1">
        <v>137.28732990000501</v>
      </c>
      <c r="S65" s="1">
        <v>137.28732990000501</v>
      </c>
      <c r="T65" s="1">
        <v>137.30420320000101</v>
      </c>
      <c r="U65" s="1">
        <v>138.00440090000399</v>
      </c>
      <c r="V65" s="1" t="s">
        <v>32</v>
      </c>
      <c r="W65" s="1">
        <v>0.70314059999509404</v>
      </c>
      <c r="X65" s="1" t="s">
        <v>33</v>
      </c>
      <c r="Y65" s="1" t="s">
        <v>40</v>
      </c>
      <c r="Z65" s="1">
        <v>1</v>
      </c>
      <c r="AA65" s="1" t="s">
        <v>41</v>
      </c>
      <c r="AB65" s="1" t="s">
        <v>36</v>
      </c>
      <c r="AC65" s="1"/>
      <c r="AD65" s="1" t="s">
        <v>37</v>
      </c>
      <c r="AE65" s="1">
        <v>60.019686456835203</v>
      </c>
      <c r="AF65" s="1" t="s">
        <v>42</v>
      </c>
    </row>
    <row r="66" spans="1:32" x14ac:dyDescent="0.35">
      <c r="A66" s="1">
        <v>49</v>
      </c>
      <c r="B66" s="1">
        <v>60</v>
      </c>
      <c r="C66" s="1">
        <v>89</v>
      </c>
      <c r="D66" s="1">
        <v>64</v>
      </c>
      <c r="E66" s="1">
        <v>4</v>
      </c>
      <c r="F66" s="1">
        <v>6</v>
      </c>
      <c r="G66" s="1" t="s">
        <v>32</v>
      </c>
      <c r="H66" s="1">
        <v>0.62972319999971604</v>
      </c>
      <c r="I66" s="1" t="s">
        <v>33</v>
      </c>
      <c r="J66" s="1">
        <v>6</v>
      </c>
      <c r="K66" s="1">
        <v>4</v>
      </c>
      <c r="L66" s="1">
        <v>64</v>
      </c>
      <c r="M66" s="1">
        <v>4</v>
      </c>
      <c r="N66" s="1">
        <v>138.02123630000199</v>
      </c>
      <c r="O66" s="1"/>
      <c r="P66" s="1">
        <v>138.00929449999899</v>
      </c>
      <c r="Q66" s="1">
        <v>138.02123630000199</v>
      </c>
      <c r="R66" s="1">
        <v>139.00407600000401</v>
      </c>
      <c r="S66" s="1">
        <v>139.00407600000401</v>
      </c>
      <c r="T66" s="1">
        <v>139.02076130000199</v>
      </c>
      <c r="U66" s="1">
        <v>139.63761520000099</v>
      </c>
      <c r="V66" s="1" t="s">
        <v>32</v>
      </c>
      <c r="W66" s="1">
        <v>0.62972319999971604</v>
      </c>
      <c r="X66" s="1" t="s">
        <v>33</v>
      </c>
      <c r="Y66" s="1" t="s">
        <v>40</v>
      </c>
      <c r="Z66" s="1">
        <v>1</v>
      </c>
      <c r="AA66" s="1" t="s">
        <v>41</v>
      </c>
      <c r="AB66" s="1" t="s">
        <v>36</v>
      </c>
      <c r="AC66" s="1"/>
      <c r="AD66" s="1" t="s">
        <v>37</v>
      </c>
      <c r="AE66" s="1">
        <v>60.019686456835203</v>
      </c>
      <c r="AF66" s="1" t="s">
        <v>42</v>
      </c>
    </row>
    <row r="67" spans="1:32" x14ac:dyDescent="0.35">
      <c r="A67" s="1">
        <v>11</v>
      </c>
      <c r="B67" s="1">
        <v>30</v>
      </c>
      <c r="C67" s="1">
        <v>7</v>
      </c>
      <c r="D67" s="1">
        <v>65</v>
      </c>
      <c r="E67" s="1">
        <v>5</v>
      </c>
      <c r="F67" s="1">
        <v>6</v>
      </c>
      <c r="G67" s="1" t="s">
        <v>39</v>
      </c>
      <c r="H67" s="1">
        <v>1.05512979999912</v>
      </c>
      <c r="I67" s="1" t="s">
        <v>33</v>
      </c>
      <c r="J67" s="1">
        <v>6</v>
      </c>
      <c r="K67" s="1">
        <v>5</v>
      </c>
      <c r="L67" s="1">
        <v>65</v>
      </c>
      <c r="M67" s="1">
        <v>0</v>
      </c>
      <c r="N67" s="1">
        <v>139.653494000005</v>
      </c>
      <c r="O67" s="1"/>
      <c r="P67" s="1">
        <v>139.643791800001</v>
      </c>
      <c r="Q67" s="1">
        <v>139.653494000005</v>
      </c>
      <c r="R67" s="1">
        <v>140.63693590000099</v>
      </c>
      <c r="S67" s="1">
        <v>140.63693590000099</v>
      </c>
      <c r="T67" s="1">
        <v>140.65340700000499</v>
      </c>
      <c r="U67" s="1">
        <v>141.70481710000601</v>
      </c>
      <c r="V67" s="1" t="s">
        <v>39</v>
      </c>
      <c r="W67" s="1">
        <v>1.05512979999912</v>
      </c>
      <c r="X67" s="1" t="s">
        <v>33</v>
      </c>
      <c r="Y67" s="1" t="s">
        <v>40</v>
      </c>
      <c r="Z67" s="1">
        <v>1</v>
      </c>
      <c r="AA67" s="1" t="s">
        <v>41</v>
      </c>
      <c r="AB67" s="1" t="s">
        <v>36</v>
      </c>
      <c r="AC67" s="1"/>
      <c r="AD67" s="1" t="s">
        <v>37</v>
      </c>
      <c r="AE67" s="1">
        <v>60.019686456835203</v>
      </c>
      <c r="AF67" s="1" t="s">
        <v>42</v>
      </c>
    </row>
    <row r="68" spans="1:32" x14ac:dyDescent="0.35">
      <c r="A68" s="1">
        <v>27</v>
      </c>
      <c r="B68" s="1">
        <v>50</v>
      </c>
      <c r="C68" s="1">
        <v>21</v>
      </c>
      <c r="D68" s="1">
        <v>66</v>
      </c>
      <c r="E68" s="1">
        <v>6</v>
      </c>
      <c r="F68" s="1">
        <v>6</v>
      </c>
      <c r="G68" s="1" t="s">
        <v>32</v>
      </c>
      <c r="H68" s="1">
        <v>0.39292459999705898</v>
      </c>
      <c r="I68" s="1" t="s">
        <v>33</v>
      </c>
      <c r="J68" s="1">
        <v>6</v>
      </c>
      <c r="K68" s="1">
        <v>6</v>
      </c>
      <c r="L68" s="1">
        <v>66</v>
      </c>
      <c r="M68" s="1">
        <v>2</v>
      </c>
      <c r="N68" s="1">
        <v>141.73662490000399</v>
      </c>
      <c r="O68" s="1"/>
      <c r="P68" s="1">
        <v>141.71282490000101</v>
      </c>
      <c r="Q68" s="1">
        <v>141.73662490000399</v>
      </c>
      <c r="R68" s="1">
        <v>142.71980679999899</v>
      </c>
      <c r="S68" s="1">
        <v>142.71980679999899</v>
      </c>
      <c r="T68" s="1">
        <v>142.736469800001</v>
      </c>
      <c r="U68" s="1">
        <v>143.12113170000501</v>
      </c>
      <c r="V68" s="1" t="s">
        <v>32</v>
      </c>
      <c r="W68" s="1">
        <v>0.39292459999705898</v>
      </c>
      <c r="X68" s="1" t="s">
        <v>33</v>
      </c>
      <c r="Y68" s="1" t="s">
        <v>40</v>
      </c>
      <c r="Z68" s="1">
        <v>1</v>
      </c>
      <c r="AA68" s="1" t="s">
        <v>41</v>
      </c>
      <c r="AB68" s="1" t="s">
        <v>36</v>
      </c>
      <c r="AC68" s="1"/>
      <c r="AD68" s="1" t="s">
        <v>37</v>
      </c>
      <c r="AE68" s="1">
        <v>60.019686456835203</v>
      </c>
      <c r="AF68" s="1" t="s">
        <v>42</v>
      </c>
    </row>
    <row r="69" spans="1:32" x14ac:dyDescent="0.35">
      <c r="A69" s="1">
        <v>67</v>
      </c>
      <c r="B69" s="1">
        <v>75</v>
      </c>
      <c r="C69" s="1">
        <v>119</v>
      </c>
      <c r="D69" s="1">
        <v>67</v>
      </c>
      <c r="E69" s="1">
        <v>7</v>
      </c>
      <c r="F69" s="1">
        <v>6</v>
      </c>
      <c r="G69" s="1" t="s">
        <v>32</v>
      </c>
      <c r="H69" s="1">
        <v>0.45251499999722</v>
      </c>
      <c r="I69" s="1" t="s">
        <v>33</v>
      </c>
      <c r="J69" s="1">
        <v>6</v>
      </c>
      <c r="K69" s="1">
        <v>7</v>
      </c>
      <c r="L69" s="1">
        <v>67</v>
      </c>
      <c r="M69" s="1">
        <v>5</v>
      </c>
      <c r="N69" s="1">
        <v>143.13625719999899</v>
      </c>
      <c r="O69" s="1"/>
      <c r="P69" s="1">
        <v>143.126808799999</v>
      </c>
      <c r="Q69" s="1">
        <v>143.13625719999899</v>
      </c>
      <c r="R69" s="1">
        <v>144.12045400000301</v>
      </c>
      <c r="S69" s="1">
        <v>144.12045400000301</v>
      </c>
      <c r="T69" s="1">
        <v>144.13699460000399</v>
      </c>
      <c r="U69" s="1">
        <v>144.58711070000501</v>
      </c>
      <c r="V69" s="1" t="s">
        <v>32</v>
      </c>
      <c r="W69" s="1">
        <v>0.45251499999722</v>
      </c>
      <c r="X69" s="1" t="s">
        <v>33</v>
      </c>
      <c r="Y69" s="1" t="s">
        <v>40</v>
      </c>
      <c r="Z69" s="1">
        <v>1</v>
      </c>
      <c r="AA69" s="1" t="s">
        <v>41</v>
      </c>
      <c r="AB69" s="1" t="s">
        <v>36</v>
      </c>
      <c r="AC69" s="1"/>
      <c r="AD69" s="1" t="s">
        <v>37</v>
      </c>
      <c r="AE69" s="1">
        <v>60.019686456835203</v>
      </c>
      <c r="AF69" s="1" t="s">
        <v>42</v>
      </c>
    </row>
    <row r="70" spans="1:32" x14ac:dyDescent="0.35">
      <c r="A70" s="1">
        <v>98</v>
      </c>
      <c r="B70" s="1">
        <v>120</v>
      </c>
      <c r="C70" s="1">
        <v>230</v>
      </c>
      <c r="D70" s="1">
        <v>68</v>
      </c>
      <c r="E70" s="1">
        <v>8</v>
      </c>
      <c r="F70" s="1">
        <v>6</v>
      </c>
      <c r="G70" s="1" t="s">
        <v>32</v>
      </c>
      <c r="H70" s="1">
        <v>0.42053540000051698</v>
      </c>
      <c r="I70" s="1" t="s">
        <v>33</v>
      </c>
      <c r="J70" s="1">
        <v>6</v>
      </c>
      <c r="K70" s="1">
        <v>8</v>
      </c>
      <c r="L70" s="1">
        <v>68</v>
      </c>
      <c r="M70" s="1">
        <v>8</v>
      </c>
      <c r="N70" s="1">
        <v>144.61948700000301</v>
      </c>
      <c r="O70" s="1"/>
      <c r="P70" s="1">
        <v>144.59965000000301</v>
      </c>
      <c r="Q70" s="1">
        <v>144.61948700000301</v>
      </c>
      <c r="R70" s="1">
        <v>145.602449500001</v>
      </c>
      <c r="S70" s="1">
        <v>145.602449500001</v>
      </c>
      <c r="T70" s="1">
        <v>145.61930470000499</v>
      </c>
      <c r="U70" s="1">
        <v>146.03697649999901</v>
      </c>
      <c r="V70" s="1" t="s">
        <v>32</v>
      </c>
      <c r="W70" s="1">
        <v>0.42053540000051698</v>
      </c>
      <c r="X70" s="1" t="s">
        <v>33</v>
      </c>
      <c r="Y70" s="1" t="s">
        <v>40</v>
      </c>
      <c r="Z70" s="1">
        <v>1</v>
      </c>
      <c r="AA70" s="1" t="s">
        <v>41</v>
      </c>
      <c r="AB70" s="1" t="s">
        <v>36</v>
      </c>
      <c r="AC70" s="1"/>
      <c r="AD70" s="1" t="s">
        <v>37</v>
      </c>
      <c r="AE70" s="1">
        <v>60.019686456835203</v>
      </c>
      <c r="AF70" s="1" t="s">
        <v>42</v>
      </c>
    </row>
    <row r="71" spans="1:32" x14ac:dyDescent="0.35">
      <c r="A71" s="1">
        <v>78</v>
      </c>
      <c r="B71" s="1">
        <v>80</v>
      </c>
      <c r="C71" s="1">
        <v>162</v>
      </c>
      <c r="D71" s="1">
        <v>69</v>
      </c>
      <c r="E71" s="1">
        <v>9</v>
      </c>
      <c r="F71" s="1">
        <v>6</v>
      </c>
      <c r="G71" s="1" t="s">
        <v>32</v>
      </c>
      <c r="H71" s="1">
        <v>0.83945429999584997</v>
      </c>
      <c r="I71" s="1" t="s">
        <v>33</v>
      </c>
      <c r="J71" s="1">
        <v>6</v>
      </c>
      <c r="K71" s="1">
        <v>9</v>
      </c>
      <c r="L71" s="1">
        <v>69</v>
      </c>
      <c r="M71" s="1">
        <v>6</v>
      </c>
      <c r="N71" s="1">
        <v>146.05247069999999</v>
      </c>
      <c r="O71" s="1"/>
      <c r="P71" s="1">
        <v>146.041349900006</v>
      </c>
      <c r="Q71" s="1">
        <v>146.05247069999999</v>
      </c>
      <c r="R71" s="1">
        <v>147.05246050000201</v>
      </c>
      <c r="S71" s="1">
        <v>147.05246050000201</v>
      </c>
      <c r="T71" s="1">
        <v>147.05246050000201</v>
      </c>
      <c r="U71" s="1">
        <v>147.90300910000201</v>
      </c>
      <c r="V71" s="1" t="s">
        <v>32</v>
      </c>
      <c r="W71" s="1">
        <v>0.83945429999584997</v>
      </c>
      <c r="X71" s="1" t="s">
        <v>33</v>
      </c>
      <c r="Y71" s="1" t="s">
        <v>40</v>
      </c>
      <c r="Z71" s="1">
        <v>1</v>
      </c>
      <c r="AA71" s="1" t="s">
        <v>41</v>
      </c>
      <c r="AB71" s="1" t="s">
        <v>36</v>
      </c>
      <c r="AC71" s="1"/>
      <c r="AD71" s="1" t="s">
        <v>37</v>
      </c>
      <c r="AE71" s="1">
        <v>60.019686456835203</v>
      </c>
      <c r="AF71" s="1" t="s">
        <v>42</v>
      </c>
    </row>
    <row r="72" spans="1:32" x14ac:dyDescent="0.35">
      <c r="A72" s="1">
        <v>27</v>
      </c>
      <c r="B72" s="1">
        <v>50</v>
      </c>
      <c r="C72" s="1">
        <v>21</v>
      </c>
      <c r="D72" s="1">
        <v>70</v>
      </c>
      <c r="E72" s="1">
        <v>0</v>
      </c>
      <c r="F72" s="1">
        <v>7</v>
      </c>
      <c r="G72" s="1" t="s">
        <v>32</v>
      </c>
      <c r="H72" s="1">
        <v>3.8310170999975499</v>
      </c>
      <c r="I72" s="1" t="s">
        <v>33</v>
      </c>
      <c r="J72" s="1">
        <v>7</v>
      </c>
      <c r="K72" s="1">
        <v>0</v>
      </c>
      <c r="L72" s="1">
        <v>70</v>
      </c>
      <c r="M72" s="1">
        <v>2</v>
      </c>
      <c r="N72" s="1">
        <v>147.91880189999901</v>
      </c>
      <c r="O72" s="1"/>
      <c r="P72" s="1">
        <v>147.911127300001</v>
      </c>
      <c r="Q72" s="1">
        <v>147.91880189999901</v>
      </c>
      <c r="R72" s="1">
        <v>148.91877260000101</v>
      </c>
      <c r="S72" s="1">
        <v>148.91877260000101</v>
      </c>
      <c r="T72" s="1">
        <v>148.91877260000101</v>
      </c>
      <c r="U72" s="1">
        <v>152.75223250000201</v>
      </c>
      <c r="V72" s="1" t="s">
        <v>32</v>
      </c>
      <c r="W72" s="1">
        <v>3.8310170999975499</v>
      </c>
      <c r="X72" s="1" t="s">
        <v>33</v>
      </c>
      <c r="Y72" s="1" t="s">
        <v>40</v>
      </c>
      <c r="Z72" s="1">
        <v>1</v>
      </c>
      <c r="AA72" s="1" t="s">
        <v>41</v>
      </c>
      <c r="AB72" s="1" t="s">
        <v>36</v>
      </c>
      <c r="AC72" s="1"/>
      <c r="AD72" s="1" t="s">
        <v>37</v>
      </c>
      <c r="AE72" s="1">
        <v>60.019686456835203</v>
      </c>
      <c r="AF72" s="1" t="s">
        <v>42</v>
      </c>
    </row>
    <row r="73" spans="1:32" x14ac:dyDescent="0.35">
      <c r="A73" s="1">
        <v>40</v>
      </c>
      <c r="B73" s="1">
        <v>55</v>
      </c>
      <c r="C73" s="1">
        <v>62</v>
      </c>
      <c r="D73" s="1">
        <v>71</v>
      </c>
      <c r="E73" s="1">
        <v>1</v>
      </c>
      <c r="F73" s="1">
        <v>7</v>
      </c>
      <c r="G73" s="1" t="s">
        <v>32</v>
      </c>
      <c r="H73" s="1">
        <v>0.62430479999602495</v>
      </c>
      <c r="I73" s="1" t="s">
        <v>33</v>
      </c>
      <c r="J73" s="1">
        <v>7</v>
      </c>
      <c r="K73" s="1">
        <v>1</v>
      </c>
      <c r="L73" s="1">
        <v>71</v>
      </c>
      <c r="M73" s="1">
        <v>3</v>
      </c>
      <c r="N73" s="1">
        <v>152.76831700000099</v>
      </c>
      <c r="O73" s="1"/>
      <c r="P73" s="1">
        <v>152.757035200003</v>
      </c>
      <c r="Q73" s="1">
        <v>152.76831700000099</v>
      </c>
      <c r="R73" s="1">
        <v>153.76786949999899</v>
      </c>
      <c r="S73" s="1">
        <v>153.76786949999899</v>
      </c>
      <c r="T73" s="1">
        <v>153.76786949999899</v>
      </c>
      <c r="U73" s="1">
        <v>154.40256670000201</v>
      </c>
      <c r="V73" s="1" t="s">
        <v>32</v>
      </c>
      <c r="W73" s="1">
        <v>0.62430479999602495</v>
      </c>
      <c r="X73" s="1" t="s">
        <v>33</v>
      </c>
      <c r="Y73" s="1" t="s">
        <v>40</v>
      </c>
      <c r="Z73" s="1">
        <v>1</v>
      </c>
      <c r="AA73" s="1" t="s">
        <v>41</v>
      </c>
      <c r="AB73" s="1" t="s">
        <v>36</v>
      </c>
      <c r="AC73" s="1"/>
      <c r="AD73" s="1" t="s">
        <v>37</v>
      </c>
      <c r="AE73" s="1">
        <v>60.019686456835203</v>
      </c>
      <c r="AF73" s="1" t="s">
        <v>42</v>
      </c>
    </row>
    <row r="74" spans="1:32" x14ac:dyDescent="0.35">
      <c r="A74" s="1">
        <v>49</v>
      </c>
      <c r="B74" s="1">
        <v>60</v>
      </c>
      <c r="C74" s="1">
        <v>89</v>
      </c>
      <c r="D74" s="1">
        <v>72</v>
      </c>
      <c r="E74" s="1">
        <v>2</v>
      </c>
      <c r="F74" s="1">
        <v>7</v>
      </c>
      <c r="G74" s="1" t="s">
        <v>32</v>
      </c>
      <c r="H74" s="1">
        <v>0.56151179999869705</v>
      </c>
      <c r="I74" s="1" t="s">
        <v>33</v>
      </c>
      <c r="J74" s="1">
        <v>7</v>
      </c>
      <c r="K74" s="1">
        <v>2</v>
      </c>
      <c r="L74" s="1">
        <v>72</v>
      </c>
      <c r="M74" s="1">
        <v>4</v>
      </c>
      <c r="N74" s="1">
        <v>154.41879539999999</v>
      </c>
      <c r="O74" s="1"/>
      <c r="P74" s="1">
        <v>154.40758109999999</v>
      </c>
      <c r="Q74" s="1">
        <v>154.41879539999999</v>
      </c>
      <c r="R74" s="1">
        <v>155.4180873</v>
      </c>
      <c r="S74" s="1">
        <v>155.4180873</v>
      </c>
      <c r="T74" s="1">
        <v>155.43473559999899</v>
      </c>
      <c r="U74" s="1">
        <v>155.98495850000401</v>
      </c>
      <c r="V74" s="1" t="s">
        <v>32</v>
      </c>
      <c r="W74" s="1">
        <v>0.56151179999869705</v>
      </c>
      <c r="X74" s="1" t="s">
        <v>33</v>
      </c>
      <c r="Y74" s="1" t="s">
        <v>40</v>
      </c>
      <c r="Z74" s="1">
        <v>1</v>
      </c>
      <c r="AA74" s="1" t="s">
        <v>41</v>
      </c>
      <c r="AB74" s="1" t="s">
        <v>36</v>
      </c>
      <c r="AC74" s="1"/>
      <c r="AD74" s="1" t="s">
        <v>37</v>
      </c>
      <c r="AE74" s="1">
        <v>60.019686456835203</v>
      </c>
      <c r="AF74" s="1" t="s">
        <v>42</v>
      </c>
    </row>
    <row r="75" spans="1:32" x14ac:dyDescent="0.35">
      <c r="A75" s="1">
        <v>78</v>
      </c>
      <c r="B75" s="1">
        <v>80</v>
      </c>
      <c r="C75" s="1">
        <v>162</v>
      </c>
      <c r="D75" s="1">
        <v>73</v>
      </c>
      <c r="E75" s="1">
        <v>3</v>
      </c>
      <c r="F75" s="1">
        <v>7</v>
      </c>
      <c r="G75" s="1" t="s">
        <v>32</v>
      </c>
      <c r="H75" s="1">
        <v>0.42383410000184002</v>
      </c>
      <c r="I75" s="1" t="s">
        <v>33</v>
      </c>
      <c r="J75" s="1">
        <v>7</v>
      </c>
      <c r="K75" s="1">
        <v>3</v>
      </c>
      <c r="L75" s="1">
        <v>73</v>
      </c>
      <c r="M75" s="1">
        <v>6</v>
      </c>
      <c r="N75" s="1">
        <v>156.00085999999999</v>
      </c>
      <c r="O75" s="1"/>
      <c r="P75" s="1">
        <v>155.99185979999999</v>
      </c>
      <c r="Q75" s="1">
        <v>156.00085999999999</v>
      </c>
      <c r="R75" s="1">
        <v>156.984193200005</v>
      </c>
      <c r="S75" s="1">
        <v>156.984193200005</v>
      </c>
      <c r="T75" s="1">
        <v>157.00078770000201</v>
      </c>
      <c r="U75" s="1">
        <v>157.41816100000099</v>
      </c>
      <c r="V75" s="1" t="s">
        <v>32</v>
      </c>
      <c r="W75" s="1">
        <v>0.42383410000184002</v>
      </c>
      <c r="X75" s="1" t="s">
        <v>33</v>
      </c>
      <c r="Y75" s="1" t="s">
        <v>40</v>
      </c>
      <c r="Z75" s="1">
        <v>1</v>
      </c>
      <c r="AA75" s="1" t="s">
        <v>41</v>
      </c>
      <c r="AB75" s="1" t="s">
        <v>36</v>
      </c>
      <c r="AC75" s="1"/>
      <c r="AD75" s="1" t="s">
        <v>37</v>
      </c>
      <c r="AE75" s="1">
        <v>60.019686456835203</v>
      </c>
      <c r="AF75" s="1" t="s">
        <v>42</v>
      </c>
    </row>
    <row r="76" spans="1:32" x14ac:dyDescent="0.35">
      <c r="A76" s="1">
        <v>15</v>
      </c>
      <c r="B76" s="1">
        <v>35</v>
      </c>
      <c r="C76" s="1">
        <v>13</v>
      </c>
      <c r="D76" s="1">
        <v>74</v>
      </c>
      <c r="E76" s="1">
        <v>4</v>
      </c>
      <c r="F76" s="1">
        <v>7</v>
      </c>
      <c r="G76" s="1" t="s">
        <v>39</v>
      </c>
      <c r="H76" s="1">
        <v>0.55450519999430903</v>
      </c>
      <c r="I76" s="1" t="s">
        <v>33</v>
      </c>
      <c r="J76" s="1">
        <v>7</v>
      </c>
      <c r="K76" s="1">
        <v>4</v>
      </c>
      <c r="L76" s="1">
        <v>74</v>
      </c>
      <c r="M76" s="1">
        <v>1</v>
      </c>
      <c r="N76" s="1">
        <v>157.43388100000399</v>
      </c>
      <c r="O76" s="1"/>
      <c r="P76" s="1">
        <v>157.42339740000099</v>
      </c>
      <c r="Q76" s="1">
        <v>157.43388100000399</v>
      </c>
      <c r="R76" s="1">
        <v>158.43419880000101</v>
      </c>
      <c r="S76" s="1">
        <v>158.43419880000101</v>
      </c>
      <c r="T76" s="1">
        <v>158.43419880000101</v>
      </c>
      <c r="U76" s="1">
        <v>159.000970500004</v>
      </c>
      <c r="V76" s="1" t="s">
        <v>39</v>
      </c>
      <c r="W76" s="1">
        <v>0.55450519999430903</v>
      </c>
      <c r="X76" s="1" t="s">
        <v>33</v>
      </c>
      <c r="Y76" s="1" t="s">
        <v>40</v>
      </c>
      <c r="Z76" s="1">
        <v>1</v>
      </c>
      <c r="AA76" s="1" t="s">
        <v>41</v>
      </c>
      <c r="AB76" s="1" t="s">
        <v>36</v>
      </c>
      <c r="AC76" s="1"/>
      <c r="AD76" s="1" t="s">
        <v>37</v>
      </c>
      <c r="AE76" s="1">
        <v>60.019686456835203</v>
      </c>
      <c r="AF76" s="1" t="s">
        <v>42</v>
      </c>
    </row>
    <row r="77" spans="1:32" x14ac:dyDescent="0.35">
      <c r="A77" s="1">
        <v>67</v>
      </c>
      <c r="B77" s="1">
        <v>75</v>
      </c>
      <c r="C77" s="1">
        <v>119</v>
      </c>
      <c r="D77" s="1">
        <v>75</v>
      </c>
      <c r="E77" s="1">
        <v>5</v>
      </c>
      <c r="F77" s="1">
        <v>7</v>
      </c>
      <c r="G77" s="1" t="s">
        <v>32</v>
      </c>
      <c r="H77" s="1">
        <v>1.2917593999954899</v>
      </c>
      <c r="I77" s="1" t="s">
        <v>33</v>
      </c>
      <c r="J77" s="1">
        <v>7</v>
      </c>
      <c r="K77" s="1">
        <v>5</v>
      </c>
      <c r="L77" s="1">
        <v>75</v>
      </c>
      <c r="M77" s="1">
        <v>5</v>
      </c>
      <c r="N77" s="1">
        <v>159.016950800003</v>
      </c>
      <c r="O77" s="1"/>
      <c r="P77" s="1">
        <v>159.01013580000199</v>
      </c>
      <c r="Q77" s="1">
        <v>159.016950800003</v>
      </c>
      <c r="R77" s="1">
        <v>160.000146700003</v>
      </c>
      <c r="S77" s="1">
        <v>160.000146700003</v>
      </c>
      <c r="T77" s="1">
        <v>160.016810400004</v>
      </c>
      <c r="U77" s="1">
        <v>161.3006838</v>
      </c>
      <c r="V77" s="1" t="s">
        <v>32</v>
      </c>
      <c r="W77" s="1">
        <v>1.2917593999954899</v>
      </c>
      <c r="X77" s="1" t="s">
        <v>33</v>
      </c>
      <c r="Y77" s="1" t="s">
        <v>40</v>
      </c>
      <c r="Z77" s="1">
        <v>1</v>
      </c>
      <c r="AA77" s="1" t="s">
        <v>41</v>
      </c>
      <c r="AB77" s="1" t="s">
        <v>36</v>
      </c>
      <c r="AC77" s="1"/>
      <c r="AD77" s="1" t="s">
        <v>37</v>
      </c>
      <c r="AE77" s="1">
        <v>60.019686456835203</v>
      </c>
      <c r="AF77" s="1" t="s">
        <v>42</v>
      </c>
    </row>
    <row r="78" spans="1:32" x14ac:dyDescent="0.35">
      <c r="A78" s="1">
        <v>11</v>
      </c>
      <c r="B78" s="1">
        <v>30</v>
      </c>
      <c r="C78" s="1">
        <v>7</v>
      </c>
      <c r="D78" s="1">
        <v>76</v>
      </c>
      <c r="E78" s="1">
        <v>6</v>
      </c>
      <c r="F78" s="1">
        <v>7</v>
      </c>
      <c r="G78" s="1" t="s">
        <v>39</v>
      </c>
      <c r="H78" s="1">
        <v>0.94579869999870403</v>
      </c>
      <c r="I78" s="1" t="s">
        <v>33</v>
      </c>
      <c r="J78" s="1">
        <v>7</v>
      </c>
      <c r="K78" s="1">
        <v>6</v>
      </c>
      <c r="L78" s="1">
        <v>76</v>
      </c>
      <c r="M78" s="1">
        <v>0</v>
      </c>
      <c r="N78" s="1">
        <v>161.31659310000299</v>
      </c>
      <c r="O78" s="1"/>
      <c r="P78" s="1">
        <v>161.307907599999</v>
      </c>
      <c r="Q78" s="1">
        <v>161.31659310000299</v>
      </c>
      <c r="R78" s="1">
        <v>162.299802500005</v>
      </c>
      <c r="S78" s="1">
        <v>162.299802500005</v>
      </c>
      <c r="T78" s="1">
        <v>162.316441599999</v>
      </c>
      <c r="U78" s="1">
        <v>163.25046719999901</v>
      </c>
      <c r="V78" s="1" t="s">
        <v>39</v>
      </c>
      <c r="W78" s="1">
        <v>0.94579869999870403</v>
      </c>
      <c r="X78" s="1" t="s">
        <v>33</v>
      </c>
      <c r="Y78" s="1" t="s">
        <v>40</v>
      </c>
      <c r="Z78" s="1">
        <v>1</v>
      </c>
      <c r="AA78" s="1" t="s">
        <v>41</v>
      </c>
      <c r="AB78" s="1" t="s">
        <v>36</v>
      </c>
      <c r="AC78" s="1"/>
      <c r="AD78" s="1" t="s">
        <v>37</v>
      </c>
      <c r="AE78" s="1">
        <v>60.019686456835203</v>
      </c>
      <c r="AF78" s="1" t="s">
        <v>42</v>
      </c>
    </row>
    <row r="79" spans="1:32" x14ac:dyDescent="0.35">
      <c r="A79" s="1">
        <v>88</v>
      </c>
      <c r="B79" s="1">
        <v>105</v>
      </c>
      <c r="C79" s="1">
        <v>200</v>
      </c>
      <c r="D79" s="1">
        <v>77</v>
      </c>
      <c r="E79" s="1">
        <v>7</v>
      </c>
      <c r="F79" s="1">
        <v>7</v>
      </c>
      <c r="G79" s="1" t="s">
        <v>32</v>
      </c>
      <c r="H79" s="1">
        <v>0.54519349999463795</v>
      </c>
      <c r="I79" s="1" t="s">
        <v>33</v>
      </c>
      <c r="J79" s="1">
        <v>7</v>
      </c>
      <c r="K79" s="1">
        <v>7</v>
      </c>
      <c r="L79" s="1">
        <v>77</v>
      </c>
      <c r="M79" s="1">
        <v>7</v>
      </c>
      <c r="N79" s="1">
        <v>163.266213499999</v>
      </c>
      <c r="O79" s="1"/>
      <c r="P79" s="1">
        <v>163.25753610000501</v>
      </c>
      <c r="Q79" s="1">
        <v>163.266213499999</v>
      </c>
      <c r="R79" s="1">
        <v>164.26628000000301</v>
      </c>
      <c r="S79" s="1">
        <v>164.26628000000301</v>
      </c>
      <c r="T79" s="1">
        <v>164.26628000000301</v>
      </c>
      <c r="U79" s="1">
        <v>164.81702159999901</v>
      </c>
      <c r="V79" s="1" t="s">
        <v>32</v>
      </c>
      <c r="W79" s="1">
        <v>0.54519349999463795</v>
      </c>
      <c r="X79" s="1" t="s">
        <v>33</v>
      </c>
      <c r="Y79" s="1" t="s">
        <v>40</v>
      </c>
      <c r="Z79" s="1">
        <v>1</v>
      </c>
      <c r="AA79" s="1" t="s">
        <v>41</v>
      </c>
      <c r="AB79" s="1" t="s">
        <v>36</v>
      </c>
      <c r="AC79" s="1"/>
      <c r="AD79" s="1" t="s">
        <v>37</v>
      </c>
      <c r="AE79" s="1">
        <v>60.019686456835203</v>
      </c>
      <c r="AF79" s="1" t="s">
        <v>42</v>
      </c>
    </row>
    <row r="80" spans="1:32" x14ac:dyDescent="0.35">
      <c r="A80" s="1">
        <v>110</v>
      </c>
      <c r="B80" s="1">
        <v>135</v>
      </c>
      <c r="C80" s="1">
        <v>270</v>
      </c>
      <c r="D80" s="1">
        <v>78</v>
      </c>
      <c r="E80" s="1">
        <v>8</v>
      </c>
      <c r="F80" s="1">
        <v>7</v>
      </c>
      <c r="G80" s="1" t="s">
        <v>32</v>
      </c>
      <c r="H80" s="1">
        <v>0.524009500004467</v>
      </c>
      <c r="I80" s="1" t="s">
        <v>33</v>
      </c>
      <c r="J80" s="1">
        <v>7</v>
      </c>
      <c r="K80" s="1">
        <v>8</v>
      </c>
      <c r="L80" s="1">
        <v>78</v>
      </c>
      <c r="M80" s="1">
        <v>9</v>
      </c>
      <c r="N80" s="1">
        <v>164.83280220000501</v>
      </c>
      <c r="O80" s="1"/>
      <c r="P80" s="1">
        <v>164.82401940000199</v>
      </c>
      <c r="Q80" s="1">
        <v>164.83280220000501</v>
      </c>
      <c r="R80" s="1">
        <v>165.83261820000101</v>
      </c>
      <c r="S80" s="1">
        <v>165.83261820000101</v>
      </c>
      <c r="T80" s="1">
        <v>165.83261820000101</v>
      </c>
      <c r="U80" s="1">
        <v>166.36674240000099</v>
      </c>
      <c r="V80" s="1" t="s">
        <v>32</v>
      </c>
      <c r="W80" s="1">
        <v>0.524009500004467</v>
      </c>
      <c r="X80" s="1" t="s">
        <v>33</v>
      </c>
      <c r="Y80" s="1" t="s">
        <v>40</v>
      </c>
      <c r="Z80" s="1">
        <v>1</v>
      </c>
      <c r="AA80" s="1" t="s">
        <v>41</v>
      </c>
      <c r="AB80" s="1" t="s">
        <v>36</v>
      </c>
      <c r="AC80" s="1"/>
      <c r="AD80" s="1" t="s">
        <v>37</v>
      </c>
      <c r="AE80" s="1">
        <v>60.019686456835203</v>
      </c>
      <c r="AF80" s="1" t="s">
        <v>42</v>
      </c>
    </row>
    <row r="81" spans="1:32" x14ac:dyDescent="0.35">
      <c r="A81" s="1">
        <v>98</v>
      </c>
      <c r="B81" s="1">
        <v>120</v>
      </c>
      <c r="C81" s="1">
        <v>230</v>
      </c>
      <c r="D81" s="1">
        <v>79</v>
      </c>
      <c r="E81" s="1">
        <v>9</v>
      </c>
      <c r="F81" s="1">
        <v>7</v>
      </c>
      <c r="G81" s="1" t="s">
        <v>32</v>
      </c>
      <c r="H81" s="1">
        <v>0.27846520000457498</v>
      </c>
      <c r="I81" s="1" t="s">
        <v>33</v>
      </c>
      <c r="J81" s="1">
        <v>7</v>
      </c>
      <c r="K81" s="1">
        <v>9</v>
      </c>
      <c r="L81" s="1">
        <v>79</v>
      </c>
      <c r="M81" s="1">
        <v>8</v>
      </c>
      <c r="N81" s="1">
        <v>166.38229279999999</v>
      </c>
      <c r="O81" s="1"/>
      <c r="P81" s="1">
        <v>166.37558900000201</v>
      </c>
      <c r="Q81" s="1">
        <v>166.38229279999999</v>
      </c>
      <c r="R81" s="1">
        <v>167.38235020000101</v>
      </c>
      <c r="S81" s="1">
        <v>167.38235020000101</v>
      </c>
      <c r="T81" s="1">
        <v>167.38235020000101</v>
      </c>
      <c r="U81" s="1">
        <v>167.66659890000301</v>
      </c>
      <c r="V81" s="1" t="s">
        <v>32</v>
      </c>
      <c r="W81" s="1">
        <v>0.27846520000457498</v>
      </c>
      <c r="X81" s="1" t="s">
        <v>33</v>
      </c>
      <c r="Y81" s="1" t="s">
        <v>40</v>
      </c>
      <c r="Z81" s="1">
        <v>1</v>
      </c>
      <c r="AA81" s="1" t="s">
        <v>41</v>
      </c>
      <c r="AB81" s="1" t="s">
        <v>36</v>
      </c>
      <c r="AC81" s="1"/>
      <c r="AD81" s="1" t="s">
        <v>37</v>
      </c>
      <c r="AE81" s="1">
        <v>60.019686456835203</v>
      </c>
      <c r="AF81" s="1" t="s">
        <v>42</v>
      </c>
    </row>
    <row r="82" spans="1:32" x14ac:dyDescent="0.35">
      <c r="A82" s="1">
        <v>78</v>
      </c>
      <c r="B82" s="1">
        <v>80</v>
      </c>
      <c r="C82" s="1">
        <v>162</v>
      </c>
      <c r="D82" s="1">
        <v>80</v>
      </c>
      <c r="E82" s="1">
        <v>0</v>
      </c>
      <c r="F82" s="1">
        <v>8</v>
      </c>
      <c r="G82" s="1" t="s">
        <v>32</v>
      </c>
      <c r="H82" s="1">
        <v>0.45727659999829401</v>
      </c>
      <c r="I82" s="1" t="s">
        <v>33</v>
      </c>
      <c r="J82" s="1">
        <v>8</v>
      </c>
      <c r="K82" s="1">
        <v>0</v>
      </c>
      <c r="L82" s="1">
        <v>80</v>
      </c>
      <c r="M82" s="1">
        <v>6</v>
      </c>
      <c r="N82" s="1">
        <v>167.6823717</v>
      </c>
      <c r="O82" s="1"/>
      <c r="P82" s="1">
        <v>167.67610680000499</v>
      </c>
      <c r="Q82" s="1">
        <v>167.6823717</v>
      </c>
      <c r="R82" s="1">
        <v>168.665509800004</v>
      </c>
      <c r="S82" s="1">
        <v>168.665509800004</v>
      </c>
      <c r="T82" s="1">
        <v>168.68239360000001</v>
      </c>
      <c r="U82" s="1">
        <v>169.13337920000001</v>
      </c>
      <c r="V82" s="1" t="s">
        <v>32</v>
      </c>
      <c r="W82" s="1">
        <v>0.45727659999829401</v>
      </c>
      <c r="X82" s="1" t="s">
        <v>33</v>
      </c>
      <c r="Y82" s="1" t="s">
        <v>40</v>
      </c>
      <c r="Z82" s="1">
        <v>1</v>
      </c>
      <c r="AA82" s="1" t="s">
        <v>41</v>
      </c>
      <c r="AB82" s="1" t="s">
        <v>36</v>
      </c>
      <c r="AC82" s="1"/>
      <c r="AD82" s="1" t="s">
        <v>37</v>
      </c>
      <c r="AE82" s="1">
        <v>60.019686456835203</v>
      </c>
      <c r="AF82" s="1" t="s">
        <v>42</v>
      </c>
    </row>
    <row r="83" spans="1:32" x14ac:dyDescent="0.35">
      <c r="A83" s="1">
        <v>11</v>
      </c>
      <c r="B83" s="1">
        <v>30</v>
      </c>
      <c r="C83" s="1">
        <v>7</v>
      </c>
      <c r="D83" s="1">
        <v>81</v>
      </c>
      <c r="E83" s="1">
        <v>1</v>
      </c>
      <c r="F83" s="1">
        <v>8</v>
      </c>
      <c r="G83" s="1" t="s">
        <v>39</v>
      </c>
      <c r="H83" s="1">
        <v>0.71558399999776101</v>
      </c>
      <c r="I83" s="1" t="s">
        <v>33</v>
      </c>
      <c r="J83" s="1">
        <v>8</v>
      </c>
      <c r="K83" s="1">
        <v>1</v>
      </c>
      <c r="L83" s="1">
        <v>81</v>
      </c>
      <c r="M83" s="1">
        <v>0</v>
      </c>
      <c r="N83" s="1">
        <v>169.14886469999999</v>
      </c>
      <c r="O83" s="1"/>
      <c r="P83" s="1">
        <v>169.14089210000299</v>
      </c>
      <c r="Q83" s="1">
        <v>169.14886469999999</v>
      </c>
      <c r="R83" s="1">
        <v>170.14858920000501</v>
      </c>
      <c r="S83" s="1">
        <v>170.14858920000501</v>
      </c>
      <c r="T83" s="1">
        <v>170.14858920000501</v>
      </c>
      <c r="U83" s="1">
        <v>170.865723200004</v>
      </c>
      <c r="V83" s="1" t="s">
        <v>39</v>
      </c>
      <c r="W83" s="1">
        <v>0.71558399999776101</v>
      </c>
      <c r="X83" s="1" t="s">
        <v>33</v>
      </c>
      <c r="Y83" s="1" t="s">
        <v>40</v>
      </c>
      <c r="Z83" s="1">
        <v>1</v>
      </c>
      <c r="AA83" s="1" t="s">
        <v>41</v>
      </c>
      <c r="AB83" s="1" t="s">
        <v>36</v>
      </c>
      <c r="AC83" s="1"/>
      <c r="AD83" s="1" t="s">
        <v>37</v>
      </c>
      <c r="AE83" s="1">
        <v>60.019686456835203</v>
      </c>
      <c r="AF83" s="1" t="s">
        <v>42</v>
      </c>
    </row>
    <row r="84" spans="1:32" x14ac:dyDescent="0.35">
      <c r="A84" s="1">
        <v>15</v>
      </c>
      <c r="B84" s="1">
        <v>35</v>
      </c>
      <c r="C84" s="1">
        <v>13</v>
      </c>
      <c r="D84" s="1">
        <v>82</v>
      </c>
      <c r="E84" s="1">
        <v>2</v>
      </c>
      <c r="F84" s="1">
        <v>8</v>
      </c>
      <c r="G84" s="1" t="s">
        <v>32</v>
      </c>
      <c r="H84" s="1">
        <v>0.46019820000219602</v>
      </c>
      <c r="I84" s="1" t="s">
        <v>33</v>
      </c>
      <c r="J84" s="1">
        <v>8</v>
      </c>
      <c r="K84" s="1">
        <v>2</v>
      </c>
      <c r="L84" s="1">
        <v>82</v>
      </c>
      <c r="M84" s="1">
        <v>1</v>
      </c>
      <c r="N84" s="1">
        <v>170.881835</v>
      </c>
      <c r="O84" s="1"/>
      <c r="P84" s="1">
        <v>170.87146880000299</v>
      </c>
      <c r="Q84" s="1">
        <v>170.881835</v>
      </c>
      <c r="R84" s="1">
        <v>171.864989300003</v>
      </c>
      <c r="S84" s="1">
        <v>171.864989300003</v>
      </c>
      <c r="T84" s="1">
        <v>171.88165230000499</v>
      </c>
      <c r="U84" s="1">
        <v>172.33218080000299</v>
      </c>
      <c r="V84" s="1" t="s">
        <v>32</v>
      </c>
      <c r="W84" s="1">
        <v>0.46019820000219602</v>
      </c>
      <c r="X84" s="1" t="s">
        <v>33</v>
      </c>
      <c r="Y84" s="1" t="s">
        <v>40</v>
      </c>
      <c r="Z84" s="1">
        <v>1</v>
      </c>
      <c r="AA84" s="1" t="s">
        <v>41</v>
      </c>
      <c r="AB84" s="1" t="s">
        <v>36</v>
      </c>
      <c r="AC84" s="1"/>
      <c r="AD84" s="1" t="s">
        <v>37</v>
      </c>
      <c r="AE84" s="1">
        <v>60.019686456835203</v>
      </c>
      <c r="AF84" s="1" t="s">
        <v>42</v>
      </c>
    </row>
    <row r="85" spans="1:32" x14ac:dyDescent="0.35">
      <c r="A85" s="1">
        <v>27</v>
      </c>
      <c r="B85" s="1">
        <v>50</v>
      </c>
      <c r="C85" s="1">
        <v>21</v>
      </c>
      <c r="D85" s="1">
        <v>83</v>
      </c>
      <c r="E85" s="1">
        <v>3</v>
      </c>
      <c r="F85" s="1">
        <v>8</v>
      </c>
      <c r="G85" s="1" t="s">
        <v>32</v>
      </c>
      <c r="H85" s="1">
        <v>2.1431167000046099</v>
      </c>
      <c r="I85" s="1" t="s">
        <v>33</v>
      </c>
      <c r="J85" s="1">
        <v>8</v>
      </c>
      <c r="K85" s="1">
        <v>3</v>
      </c>
      <c r="L85" s="1">
        <v>83</v>
      </c>
      <c r="M85" s="1">
        <v>2</v>
      </c>
      <c r="N85" s="1">
        <v>172.3480328</v>
      </c>
      <c r="O85" s="1"/>
      <c r="P85" s="1">
        <v>172.338813100002</v>
      </c>
      <c r="Q85" s="1">
        <v>172.3480328</v>
      </c>
      <c r="R85" s="1">
        <v>173.33128779999899</v>
      </c>
      <c r="S85" s="1">
        <v>173.33128779999899</v>
      </c>
      <c r="T85" s="1">
        <v>173.347948200003</v>
      </c>
      <c r="U85" s="1">
        <v>175.48208000000099</v>
      </c>
      <c r="V85" s="1" t="s">
        <v>32</v>
      </c>
      <c r="W85" s="1">
        <v>2.1431167000046099</v>
      </c>
      <c r="X85" s="1" t="s">
        <v>33</v>
      </c>
      <c r="Y85" s="1" t="s">
        <v>40</v>
      </c>
      <c r="Z85" s="1">
        <v>1</v>
      </c>
      <c r="AA85" s="1" t="s">
        <v>41</v>
      </c>
      <c r="AB85" s="1" t="s">
        <v>36</v>
      </c>
      <c r="AC85" s="1"/>
      <c r="AD85" s="1" t="s">
        <v>37</v>
      </c>
      <c r="AE85" s="1">
        <v>60.019686456835203</v>
      </c>
      <c r="AF85" s="1" t="s">
        <v>42</v>
      </c>
    </row>
    <row r="86" spans="1:32" x14ac:dyDescent="0.35">
      <c r="A86" s="1">
        <v>88</v>
      </c>
      <c r="B86" s="1">
        <v>105</v>
      </c>
      <c r="C86" s="1">
        <v>200</v>
      </c>
      <c r="D86" s="1">
        <v>84</v>
      </c>
      <c r="E86" s="1">
        <v>4</v>
      </c>
      <c r="F86" s="1">
        <v>8</v>
      </c>
      <c r="G86" s="1" t="s">
        <v>32</v>
      </c>
      <c r="H86" s="1">
        <v>0.62588700000196695</v>
      </c>
      <c r="I86" s="1" t="s">
        <v>33</v>
      </c>
      <c r="J86" s="1">
        <v>8</v>
      </c>
      <c r="K86" s="1">
        <v>4</v>
      </c>
      <c r="L86" s="1">
        <v>84</v>
      </c>
      <c r="M86" s="1">
        <v>7</v>
      </c>
      <c r="N86" s="1">
        <v>175.49785880000101</v>
      </c>
      <c r="O86" s="1"/>
      <c r="P86" s="1">
        <v>175.49059480000099</v>
      </c>
      <c r="Q86" s="1">
        <v>175.49785880000101</v>
      </c>
      <c r="R86" s="1">
        <v>176.49758619999901</v>
      </c>
      <c r="S86" s="1">
        <v>176.49758619999901</v>
      </c>
      <c r="T86" s="1">
        <v>176.49758619999901</v>
      </c>
      <c r="U86" s="1">
        <v>177.13147970000099</v>
      </c>
      <c r="V86" s="1" t="s">
        <v>32</v>
      </c>
      <c r="W86" s="1">
        <v>0.62588700000196695</v>
      </c>
      <c r="X86" s="1" t="s">
        <v>33</v>
      </c>
      <c r="Y86" s="1" t="s">
        <v>40</v>
      </c>
      <c r="Z86" s="1">
        <v>1</v>
      </c>
      <c r="AA86" s="1" t="s">
        <v>41</v>
      </c>
      <c r="AB86" s="1" t="s">
        <v>36</v>
      </c>
      <c r="AC86" s="1"/>
      <c r="AD86" s="1" t="s">
        <v>37</v>
      </c>
      <c r="AE86" s="1">
        <v>60.019686456835203</v>
      </c>
      <c r="AF86" s="1" t="s">
        <v>42</v>
      </c>
    </row>
    <row r="87" spans="1:32" x14ac:dyDescent="0.35">
      <c r="A87" s="1">
        <v>49</v>
      </c>
      <c r="B87" s="1">
        <v>60</v>
      </c>
      <c r="C87" s="1">
        <v>89</v>
      </c>
      <c r="D87" s="1">
        <v>85</v>
      </c>
      <c r="E87" s="1">
        <v>5</v>
      </c>
      <c r="F87" s="1">
        <v>8</v>
      </c>
      <c r="G87" s="1" t="s">
        <v>32</v>
      </c>
      <c r="H87" s="1">
        <v>0.39230749999842301</v>
      </c>
      <c r="I87" s="1" t="s">
        <v>33</v>
      </c>
      <c r="J87" s="1">
        <v>8</v>
      </c>
      <c r="K87" s="1">
        <v>5</v>
      </c>
      <c r="L87" s="1">
        <v>85</v>
      </c>
      <c r="M87" s="1">
        <v>4</v>
      </c>
      <c r="N87" s="1">
        <v>177.147300100004</v>
      </c>
      <c r="O87" s="1"/>
      <c r="P87" s="1">
        <v>177.13737360000201</v>
      </c>
      <c r="Q87" s="1">
        <v>177.147300100004</v>
      </c>
      <c r="R87" s="1">
        <v>178.147260600002</v>
      </c>
      <c r="S87" s="1">
        <v>178.147260600002</v>
      </c>
      <c r="T87" s="1">
        <v>178.147260600002</v>
      </c>
      <c r="U87" s="1">
        <v>178.54792860000401</v>
      </c>
      <c r="V87" s="1" t="s">
        <v>32</v>
      </c>
      <c r="W87" s="1">
        <v>0.39230749999842301</v>
      </c>
      <c r="X87" s="1" t="s">
        <v>33</v>
      </c>
      <c r="Y87" s="1" t="s">
        <v>40</v>
      </c>
      <c r="Z87" s="1">
        <v>1</v>
      </c>
      <c r="AA87" s="1" t="s">
        <v>41</v>
      </c>
      <c r="AB87" s="1" t="s">
        <v>36</v>
      </c>
      <c r="AC87" s="1"/>
      <c r="AD87" s="1" t="s">
        <v>37</v>
      </c>
      <c r="AE87" s="1">
        <v>60.019686456835203</v>
      </c>
      <c r="AF87" s="1" t="s">
        <v>42</v>
      </c>
    </row>
    <row r="88" spans="1:32" x14ac:dyDescent="0.35">
      <c r="A88" s="1">
        <v>110</v>
      </c>
      <c r="B88" s="1">
        <v>135</v>
      </c>
      <c r="C88" s="1">
        <v>270</v>
      </c>
      <c r="D88" s="1">
        <v>86</v>
      </c>
      <c r="E88" s="1">
        <v>6</v>
      </c>
      <c r="F88" s="1">
        <v>8</v>
      </c>
      <c r="G88" s="1" t="s">
        <v>32</v>
      </c>
      <c r="H88" s="1">
        <v>0.54726600000140002</v>
      </c>
      <c r="I88" s="1" t="s">
        <v>33</v>
      </c>
      <c r="J88" s="1">
        <v>8</v>
      </c>
      <c r="K88" s="1">
        <v>6</v>
      </c>
      <c r="L88" s="1">
        <v>86</v>
      </c>
      <c r="M88" s="1">
        <v>9</v>
      </c>
      <c r="N88" s="1">
        <v>178.5639563</v>
      </c>
      <c r="O88" s="1"/>
      <c r="P88" s="1">
        <v>178.555853900004</v>
      </c>
      <c r="Q88" s="1">
        <v>178.5639563</v>
      </c>
      <c r="R88" s="1">
        <v>179.5473796</v>
      </c>
      <c r="S88" s="1">
        <v>179.5473796</v>
      </c>
      <c r="T88" s="1">
        <v>179.56373990000401</v>
      </c>
      <c r="U88" s="1">
        <v>180.09743549999899</v>
      </c>
      <c r="V88" s="1" t="s">
        <v>32</v>
      </c>
      <c r="W88" s="1">
        <v>0.54726600000140002</v>
      </c>
      <c r="X88" s="1" t="s">
        <v>33</v>
      </c>
      <c r="Y88" s="1" t="s">
        <v>40</v>
      </c>
      <c r="Z88" s="1">
        <v>1</v>
      </c>
      <c r="AA88" s="1" t="s">
        <v>41</v>
      </c>
      <c r="AB88" s="1" t="s">
        <v>36</v>
      </c>
      <c r="AC88" s="1"/>
      <c r="AD88" s="1" t="s">
        <v>37</v>
      </c>
      <c r="AE88" s="1">
        <v>60.019686456835203</v>
      </c>
      <c r="AF88" s="1" t="s">
        <v>42</v>
      </c>
    </row>
    <row r="89" spans="1:32" x14ac:dyDescent="0.35">
      <c r="A89" s="1">
        <v>40</v>
      </c>
      <c r="B89" s="1">
        <v>55</v>
      </c>
      <c r="C89" s="1">
        <v>62</v>
      </c>
      <c r="D89" s="1">
        <v>87</v>
      </c>
      <c r="E89" s="1">
        <v>7</v>
      </c>
      <c r="F89" s="1">
        <v>8</v>
      </c>
      <c r="G89" s="1" t="s">
        <v>32</v>
      </c>
      <c r="H89" s="1">
        <v>0.69173500000033505</v>
      </c>
      <c r="I89" s="1" t="s">
        <v>33</v>
      </c>
      <c r="J89" s="1">
        <v>8</v>
      </c>
      <c r="K89" s="1">
        <v>7</v>
      </c>
      <c r="L89" s="1">
        <v>87</v>
      </c>
      <c r="M89" s="1">
        <v>3</v>
      </c>
      <c r="N89" s="1">
        <v>180.113505300003</v>
      </c>
      <c r="O89" s="1"/>
      <c r="P89" s="1">
        <v>180.10239480000001</v>
      </c>
      <c r="Q89" s="1">
        <v>180.113505300003</v>
      </c>
      <c r="R89" s="1">
        <v>181.09677870000399</v>
      </c>
      <c r="S89" s="1">
        <v>181.09677870000399</v>
      </c>
      <c r="T89" s="1">
        <v>181.11349139999899</v>
      </c>
      <c r="U89" s="1">
        <v>181.79849290000101</v>
      </c>
      <c r="V89" s="1" t="s">
        <v>32</v>
      </c>
      <c r="W89" s="1">
        <v>0.69173500000033505</v>
      </c>
      <c r="X89" s="1" t="s">
        <v>33</v>
      </c>
      <c r="Y89" s="1" t="s">
        <v>40</v>
      </c>
      <c r="Z89" s="1">
        <v>1</v>
      </c>
      <c r="AA89" s="1" t="s">
        <v>41</v>
      </c>
      <c r="AB89" s="1" t="s">
        <v>36</v>
      </c>
      <c r="AC89" s="1"/>
      <c r="AD89" s="1" t="s">
        <v>37</v>
      </c>
      <c r="AE89" s="1">
        <v>60.019686456835203</v>
      </c>
      <c r="AF89" s="1" t="s">
        <v>42</v>
      </c>
    </row>
    <row r="90" spans="1:32" x14ac:dyDescent="0.35">
      <c r="A90" s="1">
        <v>98</v>
      </c>
      <c r="B90" s="1">
        <v>120</v>
      </c>
      <c r="C90" s="1">
        <v>230</v>
      </c>
      <c r="D90" s="1">
        <v>88</v>
      </c>
      <c r="E90" s="1">
        <v>8</v>
      </c>
      <c r="F90" s="1">
        <v>8</v>
      </c>
      <c r="G90" s="1" t="s">
        <v>32</v>
      </c>
      <c r="H90" s="1">
        <v>0.84917629999836197</v>
      </c>
      <c r="I90" s="1" t="s">
        <v>33</v>
      </c>
      <c r="J90" s="1">
        <v>8</v>
      </c>
      <c r="K90" s="1">
        <v>8</v>
      </c>
      <c r="L90" s="1">
        <v>88</v>
      </c>
      <c r="M90" s="1">
        <v>8</v>
      </c>
      <c r="N90" s="1">
        <v>181.83010840000401</v>
      </c>
      <c r="O90" s="1"/>
      <c r="P90" s="1">
        <v>181.80748660000199</v>
      </c>
      <c r="Q90" s="1">
        <v>181.83010840000401</v>
      </c>
      <c r="R90" s="1">
        <v>182.81341719999901</v>
      </c>
      <c r="S90" s="1">
        <v>182.81341719999901</v>
      </c>
      <c r="T90" s="1">
        <v>182.8298623</v>
      </c>
      <c r="U90" s="1">
        <v>183.664361000002</v>
      </c>
      <c r="V90" s="1" t="s">
        <v>32</v>
      </c>
      <c r="W90" s="1">
        <v>0.84917629999836197</v>
      </c>
      <c r="X90" s="1" t="s">
        <v>33</v>
      </c>
      <c r="Y90" s="1" t="s">
        <v>40</v>
      </c>
      <c r="Z90" s="1">
        <v>1</v>
      </c>
      <c r="AA90" s="1" t="s">
        <v>41</v>
      </c>
      <c r="AB90" s="1" t="s">
        <v>36</v>
      </c>
      <c r="AC90" s="1"/>
      <c r="AD90" s="1" t="s">
        <v>37</v>
      </c>
      <c r="AE90" s="1">
        <v>60.019686456835203</v>
      </c>
      <c r="AF90" s="1" t="s">
        <v>42</v>
      </c>
    </row>
    <row r="91" spans="1:32" x14ac:dyDescent="0.35">
      <c r="A91" s="1">
        <v>67</v>
      </c>
      <c r="B91" s="1">
        <v>75</v>
      </c>
      <c r="C91" s="1">
        <v>119</v>
      </c>
      <c r="D91" s="1">
        <v>89</v>
      </c>
      <c r="E91" s="1">
        <v>9</v>
      </c>
      <c r="F91" s="1">
        <v>8</v>
      </c>
      <c r="G91" s="1" t="s">
        <v>32</v>
      </c>
      <c r="H91" s="1">
        <v>0.95023979999677899</v>
      </c>
      <c r="I91" s="1" t="s">
        <v>33</v>
      </c>
      <c r="J91" s="1">
        <v>8</v>
      </c>
      <c r="K91" s="1">
        <v>9</v>
      </c>
      <c r="L91" s="1">
        <v>89</v>
      </c>
      <c r="M91" s="1">
        <v>5</v>
      </c>
      <c r="N91" s="1">
        <v>183.67961879999999</v>
      </c>
      <c r="O91" s="1"/>
      <c r="P91" s="1">
        <v>183.67153780000001</v>
      </c>
      <c r="Q91" s="1">
        <v>183.67961879999999</v>
      </c>
      <c r="R91" s="1">
        <v>184.67956140000001</v>
      </c>
      <c r="S91" s="1">
        <v>184.67956140000001</v>
      </c>
      <c r="T91" s="1">
        <v>184.67956140000001</v>
      </c>
      <c r="U91" s="1">
        <v>185.630428399999</v>
      </c>
      <c r="V91" s="1" t="s">
        <v>32</v>
      </c>
      <c r="W91" s="1">
        <v>0.95023979999677899</v>
      </c>
      <c r="X91" s="1" t="s">
        <v>33</v>
      </c>
      <c r="Y91" s="1" t="s">
        <v>40</v>
      </c>
      <c r="Z91" s="1">
        <v>1</v>
      </c>
      <c r="AA91" s="1" t="s">
        <v>41</v>
      </c>
      <c r="AB91" s="1" t="s">
        <v>36</v>
      </c>
      <c r="AC91" s="1"/>
      <c r="AD91" s="1" t="s">
        <v>37</v>
      </c>
      <c r="AE91" s="1">
        <v>60.019686456835203</v>
      </c>
      <c r="AF91" s="1" t="s">
        <v>42</v>
      </c>
    </row>
    <row r="92" spans="1:32" x14ac:dyDescent="0.35">
      <c r="A92" s="1">
        <v>88</v>
      </c>
      <c r="B92" s="1">
        <v>105</v>
      </c>
      <c r="C92" s="1">
        <v>200</v>
      </c>
      <c r="D92" s="1">
        <v>90</v>
      </c>
      <c r="E92" s="1">
        <v>0</v>
      </c>
      <c r="F92" s="1">
        <v>9</v>
      </c>
      <c r="G92" s="1" t="s">
        <v>32</v>
      </c>
      <c r="H92" s="1">
        <v>0.48730900000373301</v>
      </c>
      <c r="I92" s="1" t="s">
        <v>33</v>
      </c>
      <c r="J92" s="1">
        <v>9</v>
      </c>
      <c r="K92" s="1">
        <v>0</v>
      </c>
      <c r="L92" s="1">
        <v>90</v>
      </c>
      <c r="M92" s="1">
        <v>7</v>
      </c>
      <c r="N92" s="1">
        <v>185.662764799999</v>
      </c>
      <c r="O92" s="1"/>
      <c r="P92" s="1">
        <v>185.63879370000299</v>
      </c>
      <c r="Q92" s="1">
        <v>185.662764799999</v>
      </c>
      <c r="R92" s="1">
        <v>186.645892600005</v>
      </c>
      <c r="S92" s="1">
        <v>186.645892600005</v>
      </c>
      <c r="T92" s="1">
        <v>186.662610900006</v>
      </c>
      <c r="U92" s="1">
        <v>187.146464199999</v>
      </c>
      <c r="V92" s="1" t="s">
        <v>32</v>
      </c>
      <c r="W92" s="1">
        <v>0.48730900000373301</v>
      </c>
      <c r="X92" s="1" t="s">
        <v>33</v>
      </c>
      <c r="Y92" s="1" t="s">
        <v>40</v>
      </c>
      <c r="Z92" s="1">
        <v>1</v>
      </c>
      <c r="AA92" s="1" t="s">
        <v>41</v>
      </c>
      <c r="AB92" s="1" t="s">
        <v>36</v>
      </c>
      <c r="AC92" s="1"/>
      <c r="AD92" s="1" t="s">
        <v>37</v>
      </c>
      <c r="AE92" s="1">
        <v>60.019686456835203</v>
      </c>
      <c r="AF92" s="1" t="s">
        <v>42</v>
      </c>
    </row>
    <row r="93" spans="1:32" x14ac:dyDescent="0.35">
      <c r="A93" s="1">
        <v>98</v>
      </c>
      <c r="B93" s="1">
        <v>120</v>
      </c>
      <c r="C93" s="1">
        <v>230</v>
      </c>
      <c r="D93" s="1">
        <v>91</v>
      </c>
      <c r="E93" s="1">
        <v>1</v>
      </c>
      <c r="F93" s="1">
        <v>9</v>
      </c>
      <c r="G93" s="1" t="s">
        <v>32</v>
      </c>
      <c r="H93" s="1">
        <v>0.46500759999616997</v>
      </c>
      <c r="I93" s="1" t="s">
        <v>33</v>
      </c>
      <c r="J93" s="1">
        <v>9</v>
      </c>
      <c r="K93" s="1">
        <v>1</v>
      </c>
      <c r="L93" s="1">
        <v>91</v>
      </c>
      <c r="M93" s="1">
        <v>8</v>
      </c>
      <c r="N93" s="1">
        <v>187.162325299999</v>
      </c>
      <c r="O93" s="1"/>
      <c r="P93" s="1">
        <v>187.15301570000099</v>
      </c>
      <c r="Q93" s="1">
        <v>187.162325299999</v>
      </c>
      <c r="R93" s="1">
        <v>188.14566030000401</v>
      </c>
      <c r="S93" s="1">
        <v>188.14566030000401</v>
      </c>
      <c r="T93" s="1">
        <v>188.16299860000399</v>
      </c>
      <c r="U93" s="1">
        <v>188.613033900001</v>
      </c>
      <c r="V93" s="1" t="s">
        <v>32</v>
      </c>
      <c r="W93" s="1">
        <v>0.46500759999616997</v>
      </c>
      <c r="X93" s="1" t="s">
        <v>33</v>
      </c>
      <c r="Y93" s="1" t="s">
        <v>40</v>
      </c>
      <c r="Z93" s="1">
        <v>1</v>
      </c>
      <c r="AA93" s="1" t="s">
        <v>41</v>
      </c>
      <c r="AB93" s="1" t="s">
        <v>36</v>
      </c>
      <c r="AC93" s="1"/>
      <c r="AD93" s="1" t="s">
        <v>37</v>
      </c>
      <c r="AE93" s="1">
        <v>60.019686456835203</v>
      </c>
      <c r="AF93" s="1" t="s">
        <v>42</v>
      </c>
    </row>
    <row r="94" spans="1:32" x14ac:dyDescent="0.35">
      <c r="A94" s="1">
        <v>67</v>
      </c>
      <c r="B94" s="1">
        <v>75</v>
      </c>
      <c r="C94" s="1">
        <v>119</v>
      </c>
      <c r="D94" s="1">
        <v>92</v>
      </c>
      <c r="E94" s="1">
        <v>2</v>
      </c>
      <c r="F94" s="1">
        <v>9</v>
      </c>
      <c r="G94" s="1" t="s">
        <v>32</v>
      </c>
      <c r="H94" s="1">
        <v>0.45627930000046002</v>
      </c>
      <c r="I94" s="1" t="s">
        <v>33</v>
      </c>
      <c r="J94" s="1">
        <v>9</v>
      </c>
      <c r="K94" s="1">
        <v>2</v>
      </c>
      <c r="L94" s="1">
        <v>92</v>
      </c>
      <c r="M94" s="1">
        <v>5</v>
      </c>
      <c r="N94" s="1">
        <v>188.62889610000201</v>
      </c>
      <c r="O94" s="1"/>
      <c r="P94" s="1">
        <v>188.62048039999999</v>
      </c>
      <c r="Q94" s="1">
        <v>188.62889610000201</v>
      </c>
      <c r="R94" s="1">
        <v>189.612138600001</v>
      </c>
      <c r="S94" s="1">
        <v>189.612138600001</v>
      </c>
      <c r="T94" s="1">
        <v>189.6287974</v>
      </c>
      <c r="U94" s="1">
        <v>190.08004330000401</v>
      </c>
      <c r="V94" s="1" t="s">
        <v>32</v>
      </c>
      <c r="W94" s="1">
        <v>0.45627930000046002</v>
      </c>
      <c r="X94" s="1" t="s">
        <v>33</v>
      </c>
      <c r="Y94" s="1" t="s">
        <v>40</v>
      </c>
      <c r="Z94" s="1">
        <v>1</v>
      </c>
      <c r="AA94" s="1" t="s">
        <v>41</v>
      </c>
      <c r="AB94" s="1" t="s">
        <v>36</v>
      </c>
      <c r="AC94" s="1"/>
      <c r="AD94" s="1" t="s">
        <v>37</v>
      </c>
      <c r="AE94" s="1">
        <v>60.019686456835203</v>
      </c>
      <c r="AF94" s="1" t="s">
        <v>42</v>
      </c>
    </row>
    <row r="95" spans="1:32" x14ac:dyDescent="0.35">
      <c r="A95" s="1">
        <v>49</v>
      </c>
      <c r="B95" s="1">
        <v>60</v>
      </c>
      <c r="C95" s="1">
        <v>89</v>
      </c>
      <c r="D95" s="1">
        <v>93</v>
      </c>
      <c r="E95" s="1">
        <v>3</v>
      </c>
      <c r="F95" s="1">
        <v>9</v>
      </c>
      <c r="G95" s="1" t="s">
        <v>32</v>
      </c>
      <c r="H95" s="1">
        <v>0.42607139999745403</v>
      </c>
      <c r="I95" s="1" t="s">
        <v>33</v>
      </c>
      <c r="J95" s="1">
        <v>9</v>
      </c>
      <c r="K95" s="1">
        <v>3</v>
      </c>
      <c r="L95" s="1">
        <v>93</v>
      </c>
      <c r="M95" s="1">
        <v>4</v>
      </c>
      <c r="N95" s="1">
        <v>190.112691300004</v>
      </c>
      <c r="O95" s="1"/>
      <c r="P95" s="1">
        <v>190.08851829999901</v>
      </c>
      <c r="Q95" s="1">
        <v>190.112691300004</v>
      </c>
      <c r="R95" s="1">
        <v>191.095079600003</v>
      </c>
      <c r="S95" s="1">
        <v>191.095079600003</v>
      </c>
      <c r="T95" s="1">
        <v>191.11187720000399</v>
      </c>
      <c r="U95" s="1">
        <v>191.52912689999999</v>
      </c>
      <c r="V95" s="1" t="s">
        <v>32</v>
      </c>
      <c r="W95" s="1">
        <v>0.42607139999745403</v>
      </c>
      <c r="X95" s="1" t="s">
        <v>33</v>
      </c>
      <c r="Y95" s="1" t="s">
        <v>40</v>
      </c>
      <c r="Z95" s="1">
        <v>1</v>
      </c>
      <c r="AA95" s="1" t="s">
        <v>41</v>
      </c>
      <c r="AB95" s="1" t="s">
        <v>36</v>
      </c>
      <c r="AC95" s="1"/>
      <c r="AD95" s="1" t="s">
        <v>37</v>
      </c>
      <c r="AE95" s="1">
        <v>60.019686456835203</v>
      </c>
      <c r="AF95" s="1" t="s">
        <v>42</v>
      </c>
    </row>
    <row r="96" spans="1:32" x14ac:dyDescent="0.35">
      <c r="A96" s="1">
        <v>78</v>
      </c>
      <c r="B96" s="1">
        <v>80</v>
      </c>
      <c r="C96" s="1">
        <v>162</v>
      </c>
      <c r="D96" s="1">
        <v>94</v>
      </c>
      <c r="E96" s="1">
        <v>4</v>
      </c>
      <c r="F96" s="1">
        <v>9</v>
      </c>
      <c r="G96" s="1" t="s">
        <v>32</v>
      </c>
      <c r="H96" s="1">
        <v>0.66389680000429496</v>
      </c>
      <c r="I96" s="1" t="s">
        <v>33</v>
      </c>
      <c r="J96" s="1">
        <v>9</v>
      </c>
      <c r="K96" s="1">
        <v>4</v>
      </c>
      <c r="L96" s="1">
        <v>94</v>
      </c>
      <c r="M96" s="1">
        <v>6</v>
      </c>
      <c r="N96" s="1">
        <v>191.545077800001</v>
      </c>
      <c r="O96" s="1"/>
      <c r="P96" s="1">
        <v>191.536416900002</v>
      </c>
      <c r="Q96" s="1">
        <v>191.545077800001</v>
      </c>
      <c r="R96" s="1">
        <v>192.528326500003</v>
      </c>
      <c r="S96" s="1">
        <v>192.528326500003</v>
      </c>
      <c r="T96" s="1">
        <v>192.544967100002</v>
      </c>
      <c r="U96" s="1">
        <v>193.195924800005</v>
      </c>
      <c r="V96" s="1" t="s">
        <v>32</v>
      </c>
      <c r="W96" s="1">
        <v>0.66389680000429496</v>
      </c>
      <c r="X96" s="1" t="s">
        <v>33</v>
      </c>
      <c r="Y96" s="1" t="s">
        <v>40</v>
      </c>
      <c r="Z96" s="1">
        <v>1</v>
      </c>
      <c r="AA96" s="1" t="s">
        <v>41</v>
      </c>
      <c r="AB96" s="1" t="s">
        <v>36</v>
      </c>
      <c r="AC96" s="1"/>
      <c r="AD96" s="1" t="s">
        <v>37</v>
      </c>
      <c r="AE96" s="1">
        <v>60.019686456835203</v>
      </c>
      <c r="AF96" s="1" t="s">
        <v>42</v>
      </c>
    </row>
    <row r="97" spans="1:32" x14ac:dyDescent="0.35">
      <c r="A97" s="1">
        <v>40</v>
      </c>
      <c r="B97" s="1">
        <v>55</v>
      </c>
      <c r="C97" s="1">
        <v>62</v>
      </c>
      <c r="D97" s="1">
        <v>95</v>
      </c>
      <c r="E97" s="1">
        <v>5</v>
      </c>
      <c r="F97" s="1">
        <v>9</v>
      </c>
      <c r="G97" s="1" t="s">
        <v>32</v>
      </c>
      <c r="H97" s="1">
        <v>0.65211870000348404</v>
      </c>
      <c r="I97" s="1" t="s">
        <v>33</v>
      </c>
      <c r="J97" s="1">
        <v>9</v>
      </c>
      <c r="K97" s="1">
        <v>5</v>
      </c>
      <c r="L97" s="1">
        <v>95</v>
      </c>
      <c r="M97" s="1">
        <v>3</v>
      </c>
      <c r="N97" s="1">
        <v>193.21134300000199</v>
      </c>
      <c r="O97" s="1"/>
      <c r="P97" s="1">
        <v>193.201840300003</v>
      </c>
      <c r="Q97" s="1">
        <v>193.21134300000199</v>
      </c>
      <c r="R97" s="1">
        <v>194.21166540000499</v>
      </c>
      <c r="S97" s="1">
        <v>194.21166540000499</v>
      </c>
      <c r="T97" s="1">
        <v>194.21166540000499</v>
      </c>
      <c r="U97" s="1">
        <v>194.87848750000501</v>
      </c>
      <c r="V97" s="1" t="s">
        <v>32</v>
      </c>
      <c r="W97" s="1">
        <v>0.65211870000348404</v>
      </c>
      <c r="X97" s="1" t="s">
        <v>33</v>
      </c>
      <c r="Y97" s="1" t="s">
        <v>40</v>
      </c>
      <c r="Z97" s="1">
        <v>1</v>
      </c>
      <c r="AA97" s="1" t="s">
        <v>41</v>
      </c>
      <c r="AB97" s="1" t="s">
        <v>36</v>
      </c>
      <c r="AC97" s="1"/>
      <c r="AD97" s="1" t="s">
        <v>37</v>
      </c>
      <c r="AE97" s="1">
        <v>60.019686456835203</v>
      </c>
      <c r="AF97" s="1" t="s">
        <v>42</v>
      </c>
    </row>
    <row r="98" spans="1:32" x14ac:dyDescent="0.35">
      <c r="A98" s="1">
        <v>110</v>
      </c>
      <c r="B98" s="1">
        <v>135</v>
      </c>
      <c r="C98" s="1">
        <v>270</v>
      </c>
      <c r="D98" s="1">
        <v>96</v>
      </c>
      <c r="E98" s="1">
        <v>6</v>
      </c>
      <c r="F98" s="1">
        <v>9</v>
      </c>
      <c r="G98" s="1" t="s">
        <v>32</v>
      </c>
      <c r="H98" s="1">
        <v>0.70153320000099395</v>
      </c>
      <c r="I98" s="1" t="s">
        <v>33</v>
      </c>
      <c r="J98" s="1">
        <v>9</v>
      </c>
      <c r="K98" s="1">
        <v>6</v>
      </c>
      <c r="L98" s="1">
        <v>96</v>
      </c>
      <c r="M98" s="1">
        <v>9</v>
      </c>
      <c r="N98" s="1">
        <v>194.89462479999901</v>
      </c>
      <c r="O98" s="1"/>
      <c r="P98" s="1">
        <v>194.88530890000399</v>
      </c>
      <c r="Q98" s="1">
        <v>194.89462479999901</v>
      </c>
      <c r="R98" s="1">
        <v>195.87768920000201</v>
      </c>
      <c r="S98" s="1">
        <v>195.87768920000201</v>
      </c>
      <c r="T98" s="1">
        <v>195.89440029999901</v>
      </c>
      <c r="U98" s="1">
        <v>196.59494850000101</v>
      </c>
      <c r="V98" s="1" t="s">
        <v>32</v>
      </c>
      <c r="W98" s="1">
        <v>0.70153320000099395</v>
      </c>
      <c r="X98" s="1" t="s">
        <v>33</v>
      </c>
      <c r="Y98" s="1" t="s">
        <v>40</v>
      </c>
      <c r="Z98" s="1">
        <v>1</v>
      </c>
      <c r="AA98" s="1" t="s">
        <v>41</v>
      </c>
      <c r="AB98" s="1" t="s">
        <v>36</v>
      </c>
      <c r="AC98" s="1"/>
      <c r="AD98" s="1" t="s">
        <v>37</v>
      </c>
      <c r="AE98" s="1">
        <v>60.019686456835203</v>
      </c>
      <c r="AF98" s="1" t="s">
        <v>42</v>
      </c>
    </row>
    <row r="99" spans="1:32" x14ac:dyDescent="0.35">
      <c r="A99" s="1">
        <v>27</v>
      </c>
      <c r="B99" s="1">
        <v>50</v>
      </c>
      <c r="C99" s="1">
        <v>21</v>
      </c>
      <c r="D99" s="1">
        <v>97</v>
      </c>
      <c r="E99" s="1">
        <v>7</v>
      </c>
      <c r="F99" s="1">
        <v>9</v>
      </c>
      <c r="G99" s="1" t="s">
        <v>32</v>
      </c>
      <c r="H99" s="1">
        <v>0.67919940000138002</v>
      </c>
      <c r="I99" s="1" t="s">
        <v>33</v>
      </c>
      <c r="J99" s="1">
        <v>9</v>
      </c>
      <c r="K99" s="1">
        <v>7</v>
      </c>
      <c r="L99" s="1">
        <v>97</v>
      </c>
      <c r="M99" s="1">
        <v>2</v>
      </c>
      <c r="N99" s="1">
        <v>196.61095169999999</v>
      </c>
      <c r="O99" s="1"/>
      <c r="P99" s="1">
        <v>196.60001580000201</v>
      </c>
      <c r="Q99" s="1">
        <v>196.61095169999999</v>
      </c>
      <c r="R99" s="1">
        <v>197.59411060000201</v>
      </c>
      <c r="S99" s="1">
        <v>197.59411060000201</v>
      </c>
      <c r="T99" s="1">
        <v>197.61075279999901</v>
      </c>
      <c r="U99" s="1">
        <v>198.277903300004</v>
      </c>
      <c r="V99" s="1" t="s">
        <v>32</v>
      </c>
      <c r="W99" s="1">
        <v>0.67919940000138002</v>
      </c>
      <c r="X99" s="1" t="s">
        <v>33</v>
      </c>
      <c r="Y99" s="1" t="s">
        <v>40</v>
      </c>
      <c r="Z99" s="1">
        <v>1</v>
      </c>
      <c r="AA99" s="1" t="s">
        <v>41</v>
      </c>
      <c r="AB99" s="1" t="s">
        <v>36</v>
      </c>
      <c r="AC99" s="1"/>
      <c r="AD99" s="1" t="s">
        <v>37</v>
      </c>
      <c r="AE99" s="1">
        <v>60.019686456835203</v>
      </c>
      <c r="AF99" s="1" t="s">
        <v>42</v>
      </c>
    </row>
    <row r="100" spans="1:32" x14ac:dyDescent="0.35">
      <c r="A100" s="1">
        <v>11</v>
      </c>
      <c r="B100" s="1">
        <v>30</v>
      </c>
      <c r="C100" s="1">
        <v>7</v>
      </c>
      <c r="D100" s="1">
        <v>98</v>
      </c>
      <c r="E100" s="1">
        <v>8</v>
      </c>
      <c r="F100" s="1">
        <v>9</v>
      </c>
      <c r="G100" s="1" t="s">
        <v>39</v>
      </c>
      <c r="H100" s="1">
        <v>1.1089530999961399</v>
      </c>
      <c r="I100" s="1" t="s">
        <v>33</v>
      </c>
      <c r="J100" s="1">
        <v>9</v>
      </c>
      <c r="K100" s="1">
        <v>8</v>
      </c>
      <c r="L100" s="1">
        <v>98</v>
      </c>
      <c r="M100" s="1">
        <v>0</v>
      </c>
      <c r="N100" s="1">
        <v>198.29388409999899</v>
      </c>
      <c r="O100" s="1"/>
      <c r="P100" s="1">
        <v>198.28474650000101</v>
      </c>
      <c r="Q100" s="1">
        <v>198.29388409999899</v>
      </c>
      <c r="R100" s="1">
        <v>199.27784360000001</v>
      </c>
      <c r="S100" s="1">
        <v>199.27784360000001</v>
      </c>
      <c r="T100" s="1">
        <v>199.29422020000399</v>
      </c>
      <c r="U100" s="1">
        <v>200.39461800000501</v>
      </c>
      <c r="V100" s="1" t="s">
        <v>39</v>
      </c>
      <c r="W100" s="1">
        <v>1.1089530999961399</v>
      </c>
      <c r="X100" s="1" t="s">
        <v>33</v>
      </c>
      <c r="Y100" s="1" t="s">
        <v>40</v>
      </c>
      <c r="Z100" s="1">
        <v>1</v>
      </c>
      <c r="AA100" s="1" t="s">
        <v>41</v>
      </c>
      <c r="AB100" s="1" t="s">
        <v>36</v>
      </c>
      <c r="AC100" s="1"/>
      <c r="AD100" s="1" t="s">
        <v>37</v>
      </c>
      <c r="AE100" s="1">
        <v>60.019686456835203</v>
      </c>
      <c r="AF100" s="1" t="s">
        <v>42</v>
      </c>
    </row>
    <row r="101" spans="1:32" x14ac:dyDescent="0.35">
      <c r="A101" s="1">
        <v>15</v>
      </c>
      <c r="B101" s="1">
        <v>35</v>
      </c>
      <c r="C101" s="1">
        <v>13</v>
      </c>
      <c r="D101" s="1">
        <v>99</v>
      </c>
      <c r="E101" s="1">
        <v>9</v>
      </c>
      <c r="F101" s="1">
        <v>9</v>
      </c>
      <c r="G101" s="1" t="s">
        <v>39</v>
      </c>
      <c r="H101" s="1">
        <v>0.81402059999527399</v>
      </c>
      <c r="I101" s="1" t="s">
        <v>33</v>
      </c>
      <c r="J101" s="1">
        <v>9</v>
      </c>
      <c r="K101" s="1">
        <v>9</v>
      </c>
      <c r="L101" s="1">
        <v>99</v>
      </c>
      <c r="M101" s="1">
        <v>1</v>
      </c>
      <c r="N101" s="1">
        <v>200.41024720000101</v>
      </c>
      <c r="O101" s="1"/>
      <c r="P101" s="1">
        <v>200.40286750000001</v>
      </c>
      <c r="Q101" s="1">
        <v>200.41024720000101</v>
      </c>
      <c r="R101" s="1">
        <v>201.40999880000101</v>
      </c>
      <c r="S101" s="1">
        <v>201.40999880000101</v>
      </c>
      <c r="T101" s="1">
        <v>201.40999880000101</v>
      </c>
      <c r="U101" s="1">
        <v>202.22771660000501</v>
      </c>
      <c r="V101" s="1" t="s">
        <v>39</v>
      </c>
      <c r="W101" s="1">
        <v>0.81402059999527399</v>
      </c>
      <c r="X101" s="1" t="s">
        <v>33</v>
      </c>
      <c r="Y101" s="1" t="s">
        <v>40</v>
      </c>
      <c r="Z101" s="1">
        <v>1</v>
      </c>
      <c r="AA101" s="1" t="s">
        <v>41</v>
      </c>
      <c r="AB101" s="1" t="s">
        <v>36</v>
      </c>
      <c r="AC101" s="1"/>
      <c r="AD101" s="1" t="s">
        <v>37</v>
      </c>
      <c r="AE101" s="1">
        <v>60.019686456835203</v>
      </c>
      <c r="AF101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workbookViewId="0">
      <selection activeCell="G1" sqref="G1:G1048576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1">
        <v>78</v>
      </c>
      <c r="B2" s="1">
        <v>80</v>
      </c>
      <c r="C2" s="1">
        <v>162</v>
      </c>
      <c r="D2" s="1">
        <v>0</v>
      </c>
      <c r="E2" s="1">
        <v>0</v>
      </c>
      <c r="F2" s="1">
        <v>0</v>
      </c>
      <c r="G2" s="1" t="s">
        <v>32</v>
      </c>
      <c r="H2" s="1">
        <v>1.37104120000003</v>
      </c>
      <c r="I2" s="1" t="s">
        <v>33</v>
      </c>
      <c r="J2" s="1">
        <v>0</v>
      </c>
      <c r="K2" s="1">
        <v>0</v>
      </c>
      <c r="L2" s="1">
        <v>0</v>
      </c>
      <c r="M2" s="1">
        <v>6</v>
      </c>
      <c r="N2" s="1">
        <v>0.18185839999932699</v>
      </c>
      <c r="O2" s="1"/>
      <c r="P2" s="1">
        <v>0.167676599994592</v>
      </c>
      <c r="Q2" s="1">
        <v>0.18185839999932699</v>
      </c>
      <c r="R2" s="1">
        <v>1.0149283999999099</v>
      </c>
      <c r="S2" s="1">
        <v>1.0149283999999099</v>
      </c>
      <c r="T2" s="1">
        <v>1.1817811999935599</v>
      </c>
      <c r="U2" s="1">
        <v>2.40846779999992</v>
      </c>
      <c r="V2" s="1" t="s">
        <v>32</v>
      </c>
      <c r="W2" s="1">
        <v>1.37104120000003</v>
      </c>
      <c r="X2" s="1" t="s">
        <v>33</v>
      </c>
      <c r="Y2" s="1" t="s">
        <v>43</v>
      </c>
      <c r="Z2" s="1">
        <v>1</v>
      </c>
      <c r="AA2" s="1" t="s">
        <v>44</v>
      </c>
      <c r="AB2" s="1" t="s">
        <v>36</v>
      </c>
      <c r="AC2" s="1"/>
      <c r="AD2" s="1" t="s">
        <v>37</v>
      </c>
      <c r="AE2" s="1">
        <v>60.147300741681299</v>
      </c>
      <c r="AF2" s="1" t="s">
        <v>45</v>
      </c>
    </row>
    <row r="3" spans="1:32" x14ac:dyDescent="0.35">
      <c r="A3" s="1">
        <v>40</v>
      </c>
      <c r="B3" s="1">
        <v>55</v>
      </c>
      <c r="C3" s="1">
        <v>62</v>
      </c>
      <c r="D3" s="1">
        <v>1</v>
      </c>
      <c r="E3" s="1">
        <v>1</v>
      </c>
      <c r="F3" s="1">
        <v>0</v>
      </c>
      <c r="G3" s="1" t="s">
        <v>32</v>
      </c>
      <c r="H3" s="1">
        <v>0.91413200000533801</v>
      </c>
      <c r="I3" s="1" t="s">
        <v>33</v>
      </c>
      <c r="J3" s="1">
        <v>0</v>
      </c>
      <c r="K3" s="1">
        <v>1</v>
      </c>
      <c r="L3" s="1">
        <v>1</v>
      </c>
      <c r="M3" s="1">
        <v>3</v>
      </c>
      <c r="N3" s="1">
        <v>2.43165679999947</v>
      </c>
      <c r="O3" s="1"/>
      <c r="P3" s="1">
        <v>2.42381029999523</v>
      </c>
      <c r="Q3" s="1">
        <v>2.43165679999947</v>
      </c>
      <c r="R3" s="1">
        <v>3.4147994999948401</v>
      </c>
      <c r="S3" s="1">
        <v>3.4147994999948401</v>
      </c>
      <c r="T3" s="1">
        <v>3.4314822999949599</v>
      </c>
      <c r="U3" s="1">
        <v>4.3318936999930804</v>
      </c>
      <c r="V3" s="1" t="s">
        <v>32</v>
      </c>
      <c r="W3" s="1">
        <v>0.91413200000533801</v>
      </c>
      <c r="X3" s="1" t="s">
        <v>33</v>
      </c>
      <c r="Y3" s="1" t="s">
        <v>43</v>
      </c>
      <c r="Z3" s="1">
        <v>1</v>
      </c>
      <c r="AA3" s="1" t="s">
        <v>44</v>
      </c>
      <c r="AB3" s="1" t="s">
        <v>36</v>
      </c>
      <c r="AC3" s="1"/>
      <c r="AD3" s="1" t="s">
        <v>37</v>
      </c>
      <c r="AE3" s="1">
        <v>60.147300741681299</v>
      </c>
      <c r="AF3" s="1" t="s">
        <v>45</v>
      </c>
    </row>
    <row r="4" spans="1:32" x14ac:dyDescent="0.35">
      <c r="A4" s="1">
        <v>49</v>
      </c>
      <c r="B4" s="1">
        <v>60</v>
      </c>
      <c r="C4" s="1">
        <v>89</v>
      </c>
      <c r="D4" s="1">
        <v>2</v>
      </c>
      <c r="E4" s="1">
        <v>2</v>
      </c>
      <c r="F4" s="1">
        <v>0</v>
      </c>
      <c r="G4" s="1" t="s">
        <v>32</v>
      </c>
      <c r="H4" s="1">
        <v>0.81566269999893803</v>
      </c>
      <c r="I4" s="1" t="s">
        <v>33</v>
      </c>
      <c r="J4" s="1">
        <v>0</v>
      </c>
      <c r="K4" s="1">
        <v>2</v>
      </c>
      <c r="L4" s="1">
        <v>2</v>
      </c>
      <c r="M4" s="1">
        <v>4</v>
      </c>
      <c r="N4" s="1">
        <v>4.3644854999947702</v>
      </c>
      <c r="O4" s="1"/>
      <c r="P4" s="1">
        <v>4.3422339999960897</v>
      </c>
      <c r="Q4" s="1">
        <v>4.3644854999947702</v>
      </c>
      <c r="R4" s="1">
        <v>5.3311346999980698</v>
      </c>
      <c r="S4" s="1">
        <v>5.3311346999980698</v>
      </c>
      <c r="T4" s="1">
        <v>5.3644167999955199</v>
      </c>
      <c r="U4" s="1">
        <v>6.1483517999949902</v>
      </c>
      <c r="V4" s="1" t="s">
        <v>32</v>
      </c>
      <c r="W4" s="1">
        <v>0.81566269999893803</v>
      </c>
      <c r="X4" s="1" t="s">
        <v>33</v>
      </c>
      <c r="Y4" s="1" t="s">
        <v>43</v>
      </c>
      <c r="Z4" s="1">
        <v>1</v>
      </c>
      <c r="AA4" s="1" t="s">
        <v>44</v>
      </c>
      <c r="AB4" s="1" t="s">
        <v>36</v>
      </c>
      <c r="AC4" s="1"/>
      <c r="AD4" s="1" t="s">
        <v>37</v>
      </c>
      <c r="AE4" s="1">
        <v>60.147300741681299</v>
      </c>
      <c r="AF4" s="1" t="s">
        <v>45</v>
      </c>
    </row>
    <row r="5" spans="1:32" x14ac:dyDescent="0.35">
      <c r="A5" s="1">
        <v>67</v>
      </c>
      <c r="B5" s="1">
        <v>75</v>
      </c>
      <c r="C5" s="1">
        <v>119</v>
      </c>
      <c r="D5" s="1">
        <v>3</v>
      </c>
      <c r="E5" s="1">
        <v>3</v>
      </c>
      <c r="F5" s="1">
        <v>0</v>
      </c>
      <c r="G5" s="1" t="s">
        <v>32</v>
      </c>
      <c r="H5" s="1">
        <v>0.53637299999536403</v>
      </c>
      <c r="I5" s="1" t="s">
        <v>33</v>
      </c>
      <c r="J5" s="1">
        <v>0</v>
      </c>
      <c r="K5" s="1">
        <v>3</v>
      </c>
      <c r="L5" s="1">
        <v>3</v>
      </c>
      <c r="M5" s="1">
        <v>5</v>
      </c>
      <c r="N5" s="1">
        <v>6.16418649999832</v>
      </c>
      <c r="O5" s="1"/>
      <c r="P5" s="1">
        <v>6.1558635999972404</v>
      </c>
      <c r="Q5" s="1">
        <v>6.16418649999832</v>
      </c>
      <c r="R5" s="1">
        <v>7.1475077999930301</v>
      </c>
      <c r="S5" s="1">
        <v>7.1475077999930301</v>
      </c>
      <c r="T5" s="1">
        <v>7.1641154999961101</v>
      </c>
      <c r="U5" s="1">
        <v>7.6983676999952797</v>
      </c>
      <c r="V5" s="1" t="s">
        <v>32</v>
      </c>
      <c r="W5" s="1">
        <v>0.53637299999536403</v>
      </c>
      <c r="X5" s="1" t="s">
        <v>33</v>
      </c>
      <c r="Y5" s="1" t="s">
        <v>43</v>
      </c>
      <c r="Z5" s="1">
        <v>1</v>
      </c>
      <c r="AA5" s="1" t="s">
        <v>44</v>
      </c>
      <c r="AB5" s="1" t="s">
        <v>36</v>
      </c>
      <c r="AC5" s="1"/>
      <c r="AD5" s="1" t="s">
        <v>37</v>
      </c>
      <c r="AE5" s="1">
        <v>60.147300741681299</v>
      </c>
      <c r="AF5" s="1" t="s">
        <v>45</v>
      </c>
    </row>
    <row r="6" spans="1:32" x14ac:dyDescent="0.35">
      <c r="A6" s="1">
        <v>88</v>
      </c>
      <c r="B6" s="1">
        <v>105</v>
      </c>
      <c r="C6" s="1">
        <v>200</v>
      </c>
      <c r="D6" s="1">
        <v>4</v>
      </c>
      <c r="E6" s="1">
        <v>4</v>
      </c>
      <c r="F6" s="1">
        <v>0</v>
      </c>
      <c r="G6" s="1" t="s">
        <v>32</v>
      </c>
      <c r="H6" s="1">
        <v>0.49972269999852797</v>
      </c>
      <c r="I6" s="1" t="s">
        <v>33</v>
      </c>
      <c r="J6" s="1">
        <v>0</v>
      </c>
      <c r="K6" s="1">
        <v>4</v>
      </c>
      <c r="L6" s="1">
        <v>4</v>
      </c>
      <c r="M6" s="1">
        <v>7</v>
      </c>
      <c r="N6" s="1">
        <v>7.7306056999950599</v>
      </c>
      <c r="O6" s="1"/>
      <c r="P6" s="1">
        <v>7.7097262999959604</v>
      </c>
      <c r="Q6" s="1">
        <v>7.7306056999950599</v>
      </c>
      <c r="R6" s="1">
        <v>8.7137641999943298</v>
      </c>
      <c r="S6" s="1">
        <v>8.7137641999943298</v>
      </c>
      <c r="T6" s="1">
        <v>8.7306149999931204</v>
      </c>
      <c r="U6" s="1">
        <v>9.2151482999979599</v>
      </c>
      <c r="V6" s="1" t="s">
        <v>32</v>
      </c>
      <c r="W6" s="1">
        <v>0.49972269999852797</v>
      </c>
      <c r="X6" s="1" t="s">
        <v>33</v>
      </c>
      <c r="Y6" s="1" t="s">
        <v>43</v>
      </c>
      <c r="Z6" s="1">
        <v>1</v>
      </c>
      <c r="AA6" s="1" t="s">
        <v>44</v>
      </c>
      <c r="AB6" s="1" t="s">
        <v>36</v>
      </c>
      <c r="AC6" s="1"/>
      <c r="AD6" s="1" t="s">
        <v>37</v>
      </c>
      <c r="AE6" s="1">
        <v>60.147300741681299</v>
      </c>
      <c r="AF6" s="1" t="s">
        <v>45</v>
      </c>
    </row>
    <row r="7" spans="1:32" x14ac:dyDescent="0.35">
      <c r="A7" s="1">
        <v>98</v>
      </c>
      <c r="B7" s="1">
        <v>120</v>
      </c>
      <c r="C7" s="1">
        <v>230</v>
      </c>
      <c r="D7" s="1">
        <v>5</v>
      </c>
      <c r="E7" s="1">
        <v>5</v>
      </c>
      <c r="F7" s="1">
        <v>0</v>
      </c>
      <c r="G7" s="1" t="s">
        <v>32</v>
      </c>
      <c r="H7" s="1">
        <v>0.753408000004128</v>
      </c>
      <c r="I7" s="1" t="s">
        <v>33</v>
      </c>
      <c r="J7" s="1">
        <v>0</v>
      </c>
      <c r="K7" s="1">
        <v>5</v>
      </c>
      <c r="L7" s="1">
        <v>5</v>
      </c>
      <c r="M7" s="1">
        <v>8</v>
      </c>
      <c r="N7" s="1">
        <v>9.2470869999960996</v>
      </c>
      <c r="O7" s="1"/>
      <c r="P7" s="1">
        <v>9.2284070999958203</v>
      </c>
      <c r="Q7" s="1">
        <v>9.2470869999960996</v>
      </c>
      <c r="R7" s="1">
        <v>10.230516799994801</v>
      </c>
      <c r="S7" s="1">
        <v>10.230516799994801</v>
      </c>
      <c r="T7" s="1">
        <v>10.246980499999999</v>
      </c>
      <c r="U7" s="1">
        <v>10.9973431999969</v>
      </c>
      <c r="V7" s="1" t="s">
        <v>32</v>
      </c>
      <c r="W7" s="1">
        <v>0.753408000004128</v>
      </c>
      <c r="X7" s="1" t="s">
        <v>33</v>
      </c>
      <c r="Y7" s="1" t="s">
        <v>43</v>
      </c>
      <c r="Z7" s="1">
        <v>1</v>
      </c>
      <c r="AA7" s="1" t="s">
        <v>44</v>
      </c>
      <c r="AB7" s="1" t="s">
        <v>36</v>
      </c>
      <c r="AC7" s="1"/>
      <c r="AD7" s="1" t="s">
        <v>37</v>
      </c>
      <c r="AE7" s="1">
        <v>60.147300741681299</v>
      </c>
      <c r="AF7" s="1" t="s">
        <v>45</v>
      </c>
    </row>
    <row r="8" spans="1:32" x14ac:dyDescent="0.35">
      <c r="A8" s="1">
        <v>110</v>
      </c>
      <c r="B8" s="1">
        <v>135</v>
      </c>
      <c r="C8" s="1">
        <v>270</v>
      </c>
      <c r="D8" s="1">
        <v>6</v>
      </c>
      <c r="E8" s="1">
        <v>6</v>
      </c>
      <c r="F8" s="1">
        <v>0</v>
      </c>
      <c r="G8" s="1" t="s">
        <v>32</v>
      </c>
      <c r="H8" s="1">
        <v>1.22986230000242</v>
      </c>
      <c r="I8" s="1" t="s">
        <v>33</v>
      </c>
      <c r="J8" s="1">
        <v>0</v>
      </c>
      <c r="K8" s="1">
        <v>6</v>
      </c>
      <c r="L8" s="1">
        <v>6</v>
      </c>
      <c r="M8" s="1">
        <v>9</v>
      </c>
      <c r="N8" s="1">
        <v>11.013799099993699</v>
      </c>
      <c r="O8" s="1"/>
      <c r="P8" s="1">
        <v>11.005604299993101</v>
      </c>
      <c r="Q8" s="1">
        <v>11.013799099993699</v>
      </c>
      <c r="R8" s="1">
        <v>11.996725799996</v>
      </c>
      <c r="S8" s="1">
        <v>11.996725799996</v>
      </c>
      <c r="T8" s="1">
        <v>12.013301699997101</v>
      </c>
      <c r="U8" s="1">
        <v>13.230438200000201</v>
      </c>
      <c r="V8" s="1" t="s">
        <v>32</v>
      </c>
      <c r="W8" s="1">
        <v>1.22986230000242</v>
      </c>
      <c r="X8" s="1" t="s">
        <v>33</v>
      </c>
      <c r="Y8" s="1" t="s">
        <v>43</v>
      </c>
      <c r="Z8" s="1">
        <v>1</v>
      </c>
      <c r="AA8" s="1" t="s">
        <v>44</v>
      </c>
      <c r="AB8" s="1" t="s">
        <v>36</v>
      </c>
      <c r="AC8" s="1"/>
      <c r="AD8" s="1" t="s">
        <v>37</v>
      </c>
      <c r="AE8" s="1">
        <v>60.147300741681299</v>
      </c>
      <c r="AF8" s="1" t="s">
        <v>45</v>
      </c>
    </row>
    <row r="9" spans="1:32" x14ac:dyDescent="0.35">
      <c r="A9" s="1">
        <v>15</v>
      </c>
      <c r="B9" s="1">
        <v>35</v>
      </c>
      <c r="C9" s="1">
        <v>13</v>
      </c>
      <c r="D9" s="1">
        <v>7</v>
      </c>
      <c r="E9" s="1">
        <v>7</v>
      </c>
      <c r="F9" s="1">
        <v>0</v>
      </c>
      <c r="G9" s="1" t="s">
        <v>39</v>
      </c>
      <c r="H9" s="1">
        <v>0.94445360000099698</v>
      </c>
      <c r="I9" s="1" t="s">
        <v>33</v>
      </c>
      <c r="J9" s="1">
        <v>0</v>
      </c>
      <c r="K9" s="1">
        <v>7</v>
      </c>
      <c r="L9" s="1">
        <v>7</v>
      </c>
      <c r="M9" s="1">
        <v>1</v>
      </c>
      <c r="N9" s="1">
        <v>13.2464971999943</v>
      </c>
      <c r="O9" s="1"/>
      <c r="P9" s="1">
        <v>13.2352472999991</v>
      </c>
      <c r="Q9" s="1">
        <v>13.2464971999943</v>
      </c>
      <c r="R9" s="1">
        <v>14.229606699998801</v>
      </c>
      <c r="S9" s="1">
        <v>14.229606699998801</v>
      </c>
      <c r="T9" s="1">
        <v>14.246343999999199</v>
      </c>
      <c r="U9" s="1">
        <v>15.1805217999935</v>
      </c>
      <c r="V9" s="1" t="s">
        <v>39</v>
      </c>
      <c r="W9" s="1">
        <v>0.94445360000099698</v>
      </c>
      <c r="X9" s="1" t="s">
        <v>33</v>
      </c>
      <c r="Y9" s="1" t="s">
        <v>43</v>
      </c>
      <c r="Z9" s="1">
        <v>1</v>
      </c>
      <c r="AA9" s="1" t="s">
        <v>44</v>
      </c>
      <c r="AB9" s="1" t="s">
        <v>36</v>
      </c>
      <c r="AC9" s="1"/>
      <c r="AD9" s="1" t="s">
        <v>37</v>
      </c>
      <c r="AE9" s="1">
        <v>60.147300741681299</v>
      </c>
      <c r="AF9" s="1" t="s">
        <v>45</v>
      </c>
    </row>
    <row r="10" spans="1:32" x14ac:dyDescent="0.35">
      <c r="A10" s="1">
        <v>27</v>
      </c>
      <c r="B10" s="1">
        <v>50</v>
      </c>
      <c r="C10" s="1">
        <v>21</v>
      </c>
      <c r="D10" s="1">
        <v>8</v>
      </c>
      <c r="E10" s="1">
        <v>8</v>
      </c>
      <c r="F10" s="1">
        <v>0</v>
      </c>
      <c r="G10" s="1" t="s">
        <v>32</v>
      </c>
      <c r="H10" s="1">
        <v>1.21248090000153</v>
      </c>
      <c r="I10" s="1" t="s">
        <v>33</v>
      </c>
      <c r="J10" s="1">
        <v>0</v>
      </c>
      <c r="K10" s="1">
        <v>8</v>
      </c>
      <c r="L10" s="1">
        <v>8</v>
      </c>
      <c r="M10" s="1">
        <v>2</v>
      </c>
      <c r="N10" s="1">
        <v>15.1960995999979</v>
      </c>
      <c r="O10" s="1"/>
      <c r="P10" s="1">
        <v>15.1850874999945</v>
      </c>
      <c r="Q10" s="1">
        <v>15.1960995999979</v>
      </c>
      <c r="R10" s="1">
        <v>16.1960208999953</v>
      </c>
      <c r="S10" s="1">
        <v>16.1960208999953</v>
      </c>
      <c r="T10" s="1">
        <v>16.1960208999953</v>
      </c>
      <c r="U10" s="1">
        <v>17.412916799999898</v>
      </c>
      <c r="V10" s="1" t="s">
        <v>32</v>
      </c>
      <c r="W10" s="1">
        <v>1.21248090000153</v>
      </c>
      <c r="X10" s="1" t="s">
        <v>33</v>
      </c>
      <c r="Y10" s="1" t="s">
        <v>43</v>
      </c>
      <c r="Z10" s="1">
        <v>1</v>
      </c>
      <c r="AA10" s="1" t="s">
        <v>44</v>
      </c>
      <c r="AB10" s="1" t="s">
        <v>36</v>
      </c>
      <c r="AC10" s="1"/>
      <c r="AD10" s="1" t="s">
        <v>37</v>
      </c>
      <c r="AE10" s="1">
        <v>60.147300741681299</v>
      </c>
      <c r="AF10" s="1" t="s">
        <v>45</v>
      </c>
    </row>
    <row r="11" spans="1:32" x14ac:dyDescent="0.35">
      <c r="A11" s="1">
        <v>11</v>
      </c>
      <c r="B11" s="1">
        <v>30</v>
      </c>
      <c r="C11" s="1">
        <v>7</v>
      </c>
      <c r="D11" s="1">
        <v>9</v>
      </c>
      <c r="E11" s="1">
        <v>9</v>
      </c>
      <c r="F11" s="1">
        <v>0</v>
      </c>
      <c r="G11" s="1" t="s">
        <v>39</v>
      </c>
      <c r="H11" s="1">
        <v>0.85122770000452797</v>
      </c>
      <c r="I11" s="1" t="s">
        <v>33</v>
      </c>
      <c r="J11" s="1">
        <v>0</v>
      </c>
      <c r="K11" s="1">
        <v>9</v>
      </c>
      <c r="L11" s="1">
        <v>9</v>
      </c>
      <c r="M11" s="1">
        <v>0</v>
      </c>
      <c r="N11" s="1">
        <v>17.4289680999936</v>
      </c>
      <c r="O11" s="1"/>
      <c r="P11" s="1">
        <v>17.419591699996001</v>
      </c>
      <c r="Q11" s="1">
        <v>17.4289680999936</v>
      </c>
      <c r="R11" s="1">
        <v>18.4121817999985</v>
      </c>
      <c r="S11" s="1">
        <v>18.4121817999985</v>
      </c>
      <c r="T11" s="1">
        <v>18.429060099995599</v>
      </c>
      <c r="U11" s="1">
        <v>19.2794063999972</v>
      </c>
      <c r="V11" s="1" t="s">
        <v>39</v>
      </c>
      <c r="W11" s="1">
        <v>0.85122770000452797</v>
      </c>
      <c r="X11" s="1" t="s">
        <v>33</v>
      </c>
      <c r="Y11" s="1" t="s">
        <v>43</v>
      </c>
      <c r="Z11" s="1">
        <v>1</v>
      </c>
      <c r="AA11" s="1" t="s">
        <v>44</v>
      </c>
      <c r="AB11" s="1" t="s">
        <v>36</v>
      </c>
      <c r="AC11" s="1"/>
      <c r="AD11" s="1" t="s">
        <v>37</v>
      </c>
      <c r="AE11" s="1">
        <v>60.147300741681299</v>
      </c>
      <c r="AF11" s="1" t="s">
        <v>45</v>
      </c>
    </row>
    <row r="12" spans="1:32" x14ac:dyDescent="0.35">
      <c r="A12" s="1">
        <v>49</v>
      </c>
      <c r="B12" s="1">
        <v>60</v>
      </c>
      <c r="C12" s="1">
        <v>89</v>
      </c>
      <c r="D12" s="1">
        <v>10</v>
      </c>
      <c r="E12" s="1">
        <v>0</v>
      </c>
      <c r="F12" s="1">
        <v>1</v>
      </c>
      <c r="G12" s="1" t="s">
        <v>32</v>
      </c>
      <c r="H12" s="1">
        <v>0.64627620000101105</v>
      </c>
      <c r="I12" s="1" t="s">
        <v>33</v>
      </c>
      <c r="J12" s="1">
        <v>1</v>
      </c>
      <c r="K12" s="1">
        <v>0</v>
      </c>
      <c r="L12" s="1">
        <v>10</v>
      </c>
      <c r="M12" s="1">
        <v>4</v>
      </c>
      <c r="N12" s="1">
        <v>19.2953908999988</v>
      </c>
      <c r="O12" s="1"/>
      <c r="P12" s="1">
        <v>19.2843036999984</v>
      </c>
      <c r="Q12" s="1">
        <v>19.2953908999988</v>
      </c>
      <c r="R12" s="1">
        <v>20.278668499995501</v>
      </c>
      <c r="S12" s="1">
        <v>20.278668499995501</v>
      </c>
      <c r="T12" s="1">
        <v>20.2952812999938</v>
      </c>
      <c r="U12" s="1">
        <v>20.929197199999098</v>
      </c>
      <c r="V12" s="1" t="s">
        <v>32</v>
      </c>
      <c r="W12" s="1">
        <v>0.64627620000101105</v>
      </c>
      <c r="X12" s="1" t="s">
        <v>33</v>
      </c>
      <c r="Y12" s="1" t="s">
        <v>43</v>
      </c>
      <c r="Z12" s="1">
        <v>1</v>
      </c>
      <c r="AA12" s="1" t="s">
        <v>44</v>
      </c>
      <c r="AB12" s="1" t="s">
        <v>36</v>
      </c>
      <c r="AC12" s="1"/>
      <c r="AD12" s="1" t="s">
        <v>37</v>
      </c>
      <c r="AE12" s="1">
        <v>60.147300741681299</v>
      </c>
      <c r="AF12" s="1" t="s">
        <v>45</v>
      </c>
    </row>
    <row r="13" spans="1:32" x14ac:dyDescent="0.35">
      <c r="A13" s="1">
        <v>78</v>
      </c>
      <c r="B13" s="1">
        <v>80</v>
      </c>
      <c r="C13" s="1">
        <v>162</v>
      </c>
      <c r="D13" s="1">
        <v>11</v>
      </c>
      <c r="E13" s="1">
        <v>1</v>
      </c>
      <c r="F13" s="1">
        <v>1</v>
      </c>
      <c r="G13" s="1" t="s">
        <v>32</v>
      </c>
      <c r="H13" s="1">
        <v>0.61358710000058603</v>
      </c>
      <c r="I13" s="1" t="s">
        <v>33</v>
      </c>
      <c r="J13" s="1">
        <v>1</v>
      </c>
      <c r="K13" s="1">
        <v>1</v>
      </c>
      <c r="L13" s="1">
        <v>11</v>
      </c>
      <c r="M13" s="1">
        <v>6</v>
      </c>
      <c r="N13" s="1">
        <v>20.945458299996901</v>
      </c>
      <c r="O13" s="1"/>
      <c r="P13" s="1">
        <v>20.933881499993699</v>
      </c>
      <c r="Q13" s="1">
        <v>20.945458299996901</v>
      </c>
      <c r="R13" s="1">
        <v>21.928370800000199</v>
      </c>
      <c r="S13" s="1">
        <v>21.928370800000199</v>
      </c>
      <c r="T13" s="1">
        <v>21.945050799993599</v>
      </c>
      <c r="U13" s="1">
        <v>22.545936899994501</v>
      </c>
      <c r="V13" s="1" t="s">
        <v>32</v>
      </c>
      <c r="W13" s="1">
        <v>0.61358710000058603</v>
      </c>
      <c r="X13" s="1" t="s">
        <v>33</v>
      </c>
      <c r="Y13" s="1" t="s">
        <v>43</v>
      </c>
      <c r="Z13" s="1">
        <v>1</v>
      </c>
      <c r="AA13" s="1" t="s">
        <v>44</v>
      </c>
      <c r="AB13" s="1" t="s">
        <v>36</v>
      </c>
      <c r="AC13" s="1"/>
      <c r="AD13" s="1" t="s">
        <v>37</v>
      </c>
      <c r="AE13" s="1">
        <v>60.147300741681299</v>
      </c>
      <c r="AF13" s="1" t="s">
        <v>45</v>
      </c>
    </row>
    <row r="14" spans="1:32" x14ac:dyDescent="0.35">
      <c r="A14" s="1">
        <v>67</v>
      </c>
      <c r="B14" s="1">
        <v>75</v>
      </c>
      <c r="C14" s="1">
        <v>119</v>
      </c>
      <c r="D14" s="1">
        <v>12</v>
      </c>
      <c r="E14" s="1">
        <v>2</v>
      </c>
      <c r="F14" s="1">
        <v>1</v>
      </c>
      <c r="G14" s="1" t="s">
        <v>32</v>
      </c>
      <c r="H14" s="1">
        <v>1.47565159999794</v>
      </c>
      <c r="I14" s="1" t="s">
        <v>33</v>
      </c>
      <c r="J14" s="1">
        <v>1</v>
      </c>
      <c r="K14" s="1">
        <v>2</v>
      </c>
      <c r="L14" s="1">
        <v>12</v>
      </c>
      <c r="M14" s="1">
        <v>5</v>
      </c>
      <c r="N14" s="1">
        <v>22.561432999995301</v>
      </c>
      <c r="O14" s="1"/>
      <c r="P14" s="1">
        <v>22.551555899997702</v>
      </c>
      <c r="Q14" s="1">
        <v>22.561432999995301</v>
      </c>
      <c r="R14" s="1">
        <v>23.562137099994199</v>
      </c>
      <c r="S14" s="1">
        <v>23.562137099994199</v>
      </c>
      <c r="T14" s="1">
        <v>23.562137099994199</v>
      </c>
      <c r="U14" s="1">
        <v>25.0452469999945</v>
      </c>
      <c r="V14" s="1" t="s">
        <v>32</v>
      </c>
      <c r="W14" s="1">
        <v>1.47565159999794</v>
      </c>
      <c r="X14" s="1" t="s">
        <v>33</v>
      </c>
      <c r="Y14" s="1" t="s">
        <v>43</v>
      </c>
      <c r="Z14" s="1">
        <v>1</v>
      </c>
      <c r="AA14" s="1" t="s">
        <v>44</v>
      </c>
      <c r="AB14" s="1" t="s">
        <v>36</v>
      </c>
      <c r="AC14" s="1"/>
      <c r="AD14" s="1" t="s">
        <v>37</v>
      </c>
      <c r="AE14" s="1">
        <v>60.147300741681299</v>
      </c>
      <c r="AF14" s="1" t="s">
        <v>45</v>
      </c>
    </row>
    <row r="15" spans="1:32" x14ac:dyDescent="0.35">
      <c r="A15" s="1">
        <v>11</v>
      </c>
      <c r="B15" s="1">
        <v>30</v>
      </c>
      <c r="C15" s="1">
        <v>7</v>
      </c>
      <c r="D15" s="1">
        <v>13</v>
      </c>
      <c r="E15" s="1">
        <v>3</v>
      </c>
      <c r="F15" s="1">
        <v>1</v>
      </c>
      <c r="G15" s="1" t="s">
        <v>39</v>
      </c>
      <c r="H15" s="1">
        <v>1.85027439999976</v>
      </c>
      <c r="I15" s="1" t="s">
        <v>33</v>
      </c>
      <c r="J15" s="1">
        <v>1</v>
      </c>
      <c r="K15" s="1">
        <v>3</v>
      </c>
      <c r="L15" s="1">
        <v>13</v>
      </c>
      <c r="M15" s="1">
        <v>0</v>
      </c>
      <c r="N15" s="1">
        <v>25.061153299997301</v>
      </c>
      <c r="O15" s="1"/>
      <c r="P15" s="1">
        <v>25.050300399998299</v>
      </c>
      <c r="Q15" s="1">
        <v>25.061153299997301</v>
      </c>
      <c r="R15" s="1">
        <v>26.044361599997501</v>
      </c>
      <c r="S15" s="1">
        <v>26.044361599997501</v>
      </c>
      <c r="T15" s="1">
        <v>26.0609332999956</v>
      </c>
      <c r="U15" s="1">
        <v>27.911596499994602</v>
      </c>
      <c r="V15" s="1" t="s">
        <v>39</v>
      </c>
      <c r="W15" s="1">
        <v>1.85027439999976</v>
      </c>
      <c r="X15" s="1" t="s">
        <v>33</v>
      </c>
      <c r="Y15" s="1" t="s">
        <v>43</v>
      </c>
      <c r="Z15" s="1">
        <v>1</v>
      </c>
      <c r="AA15" s="1" t="s">
        <v>44</v>
      </c>
      <c r="AB15" s="1" t="s">
        <v>36</v>
      </c>
      <c r="AC15" s="1"/>
      <c r="AD15" s="1" t="s">
        <v>37</v>
      </c>
      <c r="AE15" s="1">
        <v>60.147300741681299</v>
      </c>
      <c r="AF15" s="1" t="s">
        <v>45</v>
      </c>
    </row>
    <row r="16" spans="1:32" x14ac:dyDescent="0.35">
      <c r="A16" s="1">
        <v>15</v>
      </c>
      <c r="B16" s="1">
        <v>35</v>
      </c>
      <c r="C16" s="1">
        <v>13</v>
      </c>
      <c r="D16" s="1">
        <v>14</v>
      </c>
      <c r="E16" s="1">
        <v>4</v>
      </c>
      <c r="F16" s="1">
        <v>1</v>
      </c>
      <c r="G16" s="1" t="s">
        <v>32</v>
      </c>
      <c r="H16" s="1">
        <v>0.97223469999880696</v>
      </c>
      <c r="I16" s="1" t="s">
        <v>33</v>
      </c>
      <c r="J16" s="1">
        <v>1</v>
      </c>
      <c r="K16" s="1">
        <v>4</v>
      </c>
      <c r="L16" s="1">
        <v>14</v>
      </c>
      <c r="M16" s="1">
        <v>1</v>
      </c>
      <c r="N16" s="1">
        <v>27.927393499994601</v>
      </c>
      <c r="O16" s="1"/>
      <c r="P16" s="1">
        <v>27.918955499997502</v>
      </c>
      <c r="Q16" s="1">
        <v>27.927393499994601</v>
      </c>
      <c r="R16" s="1">
        <v>28.9272823999999</v>
      </c>
      <c r="S16" s="1">
        <v>28.9272823999999</v>
      </c>
      <c r="T16" s="1">
        <v>28.9272823999999</v>
      </c>
      <c r="U16" s="1">
        <v>29.911185499993699</v>
      </c>
      <c r="V16" s="1" t="s">
        <v>32</v>
      </c>
      <c r="W16" s="1">
        <v>0.97223469999880696</v>
      </c>
      <c r="X16" s="1" t="s">
        <v>33</v>
      </c>
      <c r="Y16" s="1" t="s">
        <v>43</v>
      </c>
      <c r="Z16" s="1">
        <v>1</v>
      </c>
      <c r="AA16" s="1" t="s">
        <v>44</v>
      </c>
      <c r="AB16" s="1" t="s">
        <v>36</v>
      </c>
      <c r="AC16" s="1"/>
      <c r="AD16" s="1" t="s">
        <v>37</v>
      </c>
      <c r="AE16" s="1">
        <v>60.147300741681299</v>
      </c>
      <c r="AF16" s="1" t="s">
        <v>45</v>
      </c>
    </row>
    <row r="17" spans="1:32" x14ac:dyDescent="0.35">
      <c r="A17" s="1">
        <v>88</v>
      </c>
      <c r="B17" s="1">
        <v>105</v>
      </c>
      <c r="C17" s="1">
        <v>200</v>
      </c>
      <c r="D17" s="1">
        <v>15</v>
      </c>
      <c r="E17" s="1">
        <v>5</v>
      </c>
      <c r="F17" s="1">
        <v>1</v>
      </c>
      <c r="G17" s="1" t="s">
        <v>32</v>
      </c>
      <c r="H17" s="1">
        <v>1.95944089999829</v>
      </c>
      <c r="I17" s="1" t="s">
        <v>33</v>
      </c>
      <c r="J17" s="1">
        <v>1</v>
      </c>
      <c r="K17" s="1">
        <v>5</v>
      </c>
      <c r="L17" s="1">
        <v>15</v>
      </c>
      <c r="M17" s="1">
        <v>7</v>
      </c>
      <c r="N17" s="1">
        <v>29.927005599994999</v>
      </c>
      <c r="O17" s="1"/>
      <c r="P17" s="1">
        <v>29.9181007999941</v>
      </c>
      <c r="Q17" s="1">
        <v>29.927005599994999</v>
      </c>
      <c r="R17" s="1">
        <v>30.910283299999701</v>
      </c>
      <c r="S17" s="1">
        <v>30.910283299999701</v>
      </c>
      <c r="T17" s="1">
        <v>30.926963999998399</v>
      </c>
      <c r="U17" s="1">
        <v>32.877184499993703</v>
      </c>
      <c r="V17" s="1" t="s">
        <v>32</v>
      </c>
      <c r="W17" s="1">
        <v>1.95944089999829</v>
      </c>
      <c r="X17" s="1" t="s">
        <v>33</v>
      </c>
      <c r="Y17" s="1" t="s">
        <v>43</v>
      </c>
      <c r="Z17" s="1">
        <v>1</v>
      </c>
      <c r="AA17" s="1" t="s">
        <v>44</v>
      </c>
      <c r="AB17" s="1" t="s">
        <v>36</v>
      </c>
      <c r="AC17" s="1"/>
      <c r="AD17" s="1" t="s">
        <v>37</v>
      </c>
      <c r="AE17" s="1">
        <v>60.147300741681299</v>
      </c>
      <c r="AF17" s="1" t="s">
        <v>45</v>
      </c>
    </row>
    <row r="18" spans="1:32" x14ac:dyDescent="0.35">
      <c r="A18" s="1">
        <v>110</v>
      </c>
      <c r="B18" s="1">
        <v>135</v>
      </c>
      <c r="C18" s="1">
        <v>270</v>
      </c>
      <c r="D18" s="1">
        <v>16</v>
      </c>
      <c r="E18" s="1">
        <v>6</v>
      </c>
      <c r="F18" s="1">
        <v>1</v>
      </c>
      <c r="G18" s="1" t="s">
        <v>32</v>
      </c>
      <c r="H18" s="1">
        <v>0.65328130000125295</v>
      </c>
      <c r="I18" s="1" t="s">
        <v>33</v>
      </c>
      <c r="J18" s="1">
        <v>1</v>
      </c>
      <c r="K18" s="1">
        <v>6</v>
      </c>
      <c r="L18" s="1">
        <v>16</v>
      </c>
      <c r="M18" s="1">
        <v>9</v>
      </c>
      <c r="N18" s="1">
        <v>32.893203299994603</v>
      </c>
      <c r="O18" s="1"/>
      <c r="P18" s="1">
        <v>32.882875699993697</v>
      </c>
      <c r="Q18" s="1">
        <v>32.893203299994603</v>
      </c>
      <c r="R18" s="1">
        <v>33.8763968999992</v>
      </c>
      <c r="S18" s="1">
        <v>33.8763968999992</v>
      </c>
      <c r="T18" s="1">
        <v>33.893043699994401</v>
      </c>
      <c r="U18" s="1">
        <v>34.543990199999797</v>
      </c>
      <c r="V18" s="1" t="s">
        <v>32</v>
      </c>
      <c r="W18" s="1">
        <v>0.65328130000125295</v>
      </c>
      <c r="X18" s="1" t="s">
        <v>33</v>
      </c>
      <c r="Y18" s="1" t="s">
        <v>43</v>
      </c>
      <c r="Z18" s="1">
        <v>1</v>
      </c>
      <c r="AA18" s="1" t="s">
        <v>44</v>
      </c>
      <c r="AB18" s="1" t="s">
        <v>36</v>
      </c>
      <c r="AC18" s="1"/>
      <c r="AD18" s="1" t="s">
        <v>37</v>
      </c>
      <c r="AE18" s="1">
        <v>60.147300741681299</v>
      </c>
      <c r="AF18" s="1" t="s">
        <v>45</v>
      </c>
    </row>
    <row r="19" spans="1:32" x14ac:dyDescent="0.35">
      <c r="A19" s="1">
        <v>27</v>
      </c>
      <c r="B19" s="1">
        <v>50</v>
      </c>
      <c r="C19" s="1">
        <v>21</v>
      </c>
      <c r="D19" s="1">
        <v>17</v>
      </c>
      <c r="E19" s="1">
        <v>7</v>
      </c>
      <c r="F19" s="1">
        <v>1</v>
      </c>
      <c r="G19" s="1" t="s">
        <v>32</v>
      </c>
      <c r="H19" s="1">
        <v>0.92389469999761697</v>
      </c>
      <c r="I19" s="1" t="s">
        <v>33</v>
      </c>
      <c r="J19" s="1">
        <v>1</v>
      </c>
      <c r="K19" s="1">
        <v>7</v>
      </c>
      <c r="L19" s="1">
        <v>17</v>
      </c>
      <c r="M19" s="1">
        <v>2</v>
      </c>
      <c r="N19" s="1">
        <v>34.5594913999957</v>
      </c>
      <c r="O19" s="1"/>
      <c r="P19" s="1">
        <v>34.549626599997197</v>
      </c>
      <c r="Q19" s="1">
        <v>34.5594913999957</v>
      </c>
      <c r="R19" s="1">
        <v>35.543141599999203</v>
      </c>
      <c r="S19" s="1">
        <v>35.543141599999203</v>
      </c>
      <c r="T19" s="1">
        <v>35.559520299997502</v>
      </c>
      <c r="U19" s="1">
        <v>36.477034099996601</v>
      </c>
      <c r="V19" s="1" t="s">
        <v>32</v>
      </c>
      <c r="W19" s="1">
        <v>0.92389469999761697</v>
      </c>
      <c r="X19" s="1" t="s">
        <v>33</v>
      </c>
      <c r="Y19" s="1" t="s">
        <v>43</v>
      </c>
      <c r="Z19" s="1">
        <v>1</v>
      </c>
      <c r="AA19" s="1" t="s">
        <v>44</v>
      </c>
      <c r="AB19" s="1" t="s">
        <v>36</v>
      </c>
      <c r="AC19" s="1"/>
      <c r="AD19" s="1" t="s">
        <v>37</v>
      </c>
      <c r="AE19" s="1">
        <v>60.147300741681299</v>
      </c>
      <c r="AF19" s="1" t="s">
        <v>45</v>
      </c>
    </row>
    <row r="20" spans="1:32" x14ac:dyDescent="0.35">
      <c r="A20" s="1">
        <v>40</v>
      </c>
      <c r="B20" s="1">
        <v>55</v>
      </c>
      <c r="C20" s="1">
        <v>62</v>
      </c>
      <c r="D20" s="1">
        <v>18</v>
      </c>
      <c r="E20" s="1">
        <v>8</v>
      </c>
      <c r="F20" s="1">
        <v>1</v>
      </c>
      <c r="G20" s="1" t="s">
        <v>32</v>
      </c>
      <c r="H20" s="1">
        <v>2.2091566999952099</v>
      </c>
      <c r="I20" s="1" t="s">
        <v>33</v>
      </c>
      <c r="J20" s="1">
        <v>1</v>
      </c>
      <c r="K20" s="1">
        <v>8</v>
      </c>
      <c r="L20" s="1">
        <v>18</v>
      </c>
      <c r="M20" s="1">
        <v>3</v>
      </c>
      <c r="N20" s="1">
        <v>36.492483099995297</v>
      </c>
      <c r="O20" s="1"/>
      <c r="P20" s="1">
        <v>36.482577299997502</v>
      </c>
      <c r="Q20" s="1">
        <v>36.492483099995297</v>
      </c>
      <c r="R20" s="1">
        <v>37.476497899995501</v>
      </c>
      <c r="S20" s="1">
        <v>37.476497899995501</v>
      </c>
      <c r="T20" s="1">
        <v>37.493251199994098</v>
      </c>
      <c r="U20" s="1">
        <v>39.693085699996999</v>
      </c>
      <c r="V20" s="1" t="s">
        <v>32</v>
      </c>
      <c r="W20" s="1">
        <v>2.2091566999952099</v>
      </c>
      <c r="X20" s="1" t="s">
        <v>33</v>
      </c>
      <c r="Y20" s="1" t="s">
        <v>43</v>
      </c>
      <c r="Z20" s="1">
        <v>1</v>
      </c>
      <c r="AA20" s="1" t="s">
        <v>44</v>
      </c>
      <c r="AB20" s="1" t="s">
        <v>36</v>
      </c>
      <c r="AC20" s="1"/>
      <c r="AD20" s="1" t="s">
        <v>37</v>
      </c>
      <c r="AE20" s="1">
        <v>60.147300741681299</v>
      </c>
      <c r="AF20" s="1" t="s">
        <v>45</v>
      </c>
    </row>
    <row r="21" spans="1:32" x14ac:dyDescent="0.35">
      <c r="A21" s="1">
        <v>98</v>
      </c>
      <c r="B21" s="1">
        <v>120</v>
      </c>
      <c r="C21" s="1">
        <v>230</v>
      </c>
      <c r="D21" s="1">
        <v>19</v>
      </c>
      <c r="E21" s="1">
        <v>9</v>
      </c>
      <c r="F21" s="1">
        <v>1</v>
      </c>
      <c r="G21" s="1" t="s">
        <v>32</v>
      </c>
      <c r="H21" s="1">
        <v>1.7443660999997499</v>
      </c>
      <c r="I21" s="1" t="s">
        <v>33</v>
      </c>
      <c r="J21" s="1">
        <v>1</v>
      </c>
      <c r="K21" s="1">
        <v>9</v>
      </c>
      <c r="L21" s="1">
        <v>19</v>
      </c>
      <c r="M21" s="1">
        <v>8</v>
      </c>
      <c r="N21" s="1">
        <v>39.708663999997903</v>
      </c>
      <c r="O21" s="1"/>
      <c r="P21" s="1">
        <v>39.701088399997303</v>
      </c>
      <c r="Q21" s="1">
        <v>39.708663999997903</v>
      </c>
      <c r="R21" s="1">
        <v>40.691954899994002</v>
      </c>
      <c r="S21" s="1">
        <v>40.691954899994002</v>
      </c>
      <c r="T21" s="1">
        <v>40.708572099996601</v>
      </c>
      <c r="U21" s="1">
        <v>42.442135199999001</v>
      </c>
      <c r="V21" s="1" t="s">
        <v>32</v>
      </c>
      <c r="W21" s="1">
        <v>1.7443660999997499</v>
      </c>
      <c r="X21" s="1" t="s">
        <v>33</v>
      </c>
      <c r="Y21" s="1" t="s">
        <v>43</v>
      </c>
      <c r="Z21" s="1">
        <v>1</v>
      </c>
      <c r="AA21" s="1" t="s">
        <v>44</v>
      </c>
      <c r="AB21" s="1" t="s">
        <v>36</v>
      </c>
      <c r="AC21" s="1"/>
      <c r="AD21" s="1" t="s">
        <v>37</v>
      </c>
      <c r="AE21" s="1">
        <v>60.147300741681299</v>
      </c>
      <c r="AF21" s="1" t="s">
        <v>45</v>
      </c>
    </row>
    <row r="22" spans="1:32" x14ac:dyDescent="0.35">
      <c r="A22" s="1">
        <v>11</v>
      </c>
      <c r="B22" s="1">
        <v>30</v>
      </c>
      <c r="C22" s="1">
        <v>7</v>
      </c>
      <c r="D22" s="1">
        <v>20</v>
      </c>
      <c r="E22" s="1">
        <v>0</v>
      </c>
      <c r="F22" s="1">
        <v>2</v>
      </c>
      <c r="G22" s="1" t="s">
        <v>39</v>
      </c>
      <c r="H22" s="1">
        <v>0.72549920000165002</v>
      </c>
      <c r="I22" s="1" t="s">
        <v>33</v>
      </c>
      <c r="J22" s="1">
        <v>2</v>
      </c>
      <c r="K22" s="1">
        <v>0</v>
      </c>
      <c r="L22" s="1">
        <v>20</v>
      </c>
      <c r="M22" s="1">
        <v>0</v>
      </c>
      <c r="N22" s="1">
        <v>42.459034999999801</v>
      </c>
      <c r="O22" s="1"/>
      <c r="P22" s="1">
        <v>42.446416099999603</v>
      </c>
      <c r="Q22" s="1">
        <v>42.459034999999801</v>
      </c>
      <c r="R22" s="1">
        <v>43.4414830999958</v>
      </c>
      <c r="S22" s="1">
        <v>43.4414830999958</v>
      </c>
      <c r="T22" s="1">
        <v>43.458097399998202</v>
      </c>
      <c r="U22" s="1">
        <v>44.175554399996997</v>
      </c>
      <c r="V22" s="1" t="s">
        <v>39</v>
      </c>
      <c r="W22" s="1">
        <v>0.72549920000165002</v>
      </c>
      <c r="X22" s="1" t="s">
        <v>33</v>
      </c>
      <c r="Y22" s="1" t="s">
        <v>43</v>
      </c>
      <c r="Z22" s="1">
        <v>1</v>
      </c>
      <c r="AA22" s="1" t="s">
        <v>44</v>
      </c>
      <c r="AB22" s="1" t="s">
        <v>36</v>
      </c>
      <c r="AC22" s="1"/>
      <c r="AD22" s="1" t="s">
        <v>37</v>
      </c>
      <c r="AE22" s="1">
        <v>60.147300741681299</v>
      </c>
      <c r="AF22" s="1" t="s">
        <v>45</v>
      </c>
    </row>
    <row r="23" spans="1:32" x14ac:dyDescent="0.35">
      <c r="A23" s="1">
        <v>88</v>
      </c>
      <c r="B23" s="1">
        <v>105</v>
      </c>
      <c r="C23" s="1">
        <v>200</v>
      </c>
      <c r="D23" s="1">
        <v>21</v>
      </c>
      <c r="E23" s="1">
        <v>1</v>
      </c>
      <c r="F23" s="1">
        <v>2</v>
      </c>
      <c r="G23" s="1" t="s">
        <v>32</v>
      </c>
      <c r="H23" s="1">
        <v>0.57055330000002802</v>
      </c>
      <c r="I23" s="1" t="s">
        <v>33</v>
      </c>
      <c r="J23" s="1">
        <v>2</v>
      </c>
      <c r="K23" s="1">
        <v>1</v>
      </c>
      <c r="L23" s="1">
        <v>21</v>
      </c>
      <c r="M23" s="1">
        <v>7</v>
      </c>
      <c r="N23" s="1">
        <v>44.191285699998801</v>
      </c>
      <c r="O23" s="1"/>
      <c r="P23" s="1">
        <v>44.183656999994099</v>
      </c>
      <c r="Q23" s="1">
        <v>44.191285699998801</v>
      </c>
      <c r="R23" s="1">
        <v>45.191224299996897</v>
      </c>
      <c r="S23" s="1">
        <v>45.191224299996897</v>
      </c>
      <c r="T23" s="1">
        <v>45.191224299996897</v>
      </c>
      <c r="U23" s="1">
        <v>45.776031999994302</v>
      </c>
      <c r="V23" s="1" t="s">
        <v>32</v>
      </c>
      <c r="W23" s="1">
        <v>0.57055330000002802</v>
      </c>
      <c r="X23" s="1" t="s">
        <v>33</v>
      </c>
      <c r="Y23" s="1" t="s">
        <v>43</v>
      </c>
      <c r="Z23" s="1">
        <v>1</v>
      </c>
      <c r="AA23" s="1" t="s">
        <v>44</v>
      </c>
      <c r="AB23" s="1" t="s">
        <v>36</v>
      </c>
      <c r="AC23" s="1"/>
      <c r="AD23" s="1" t="s">
        <v>37</v>
      </c>
      <c r="AE23" s="1">
        <v>60.147300741681299</v>
      </c>
      <c r="AF23" s="1" t="s">
        <v>45</v>
      </c>
    </row>
    <row r="24" spans="1:32" x14ac:dyDescent="0.35">
      <c r="A24" s="1">
        <v>40</v>
      </c>
      <c r="B24" s="1">
        <v>55</v>
      </c>
      <c r="C24" s="1">
        <v>62</v>
      </c>
      <c r="D24" s="1">
        <v>22</v>
      </c>
      <c r="E24" s="1">
        <v>2</v>
      </c>
      <c r="F24" s="1">
        <v>2</v>
      </c>
      <c r="G24" s="1" t="s">
        <v>32</v>
      </c>
      <c r="H24" s="1">
        <v>1.6181809999979999</v>
      </c>
      <c r="I24" s="1" t="s">
        <v>33</v>
      </c>
      <c r="J24" s="1">
        <v>2</v>
      </c>
      <c r="K24" s="1">
        <v>2</v>
      </c>
      <c r="L24" s="1">
        <v>22</v>
      </c>
      <c r="M24" s="1">
        <v>3</v>
      </c>
      <c r="N24" s="1">
        <v>45.791011599998399</v>
      </c>
      <c r="O24" s="1"/>
      <c r="P24" s="1">
        <v>45.783070799996402</v>
      </c>
      <c r="Q24" s="1">
        <v>45.791011599998399</v>
      </c>
      <c r="R24" s="1">
        <v>46.774331299995502</v>
      </c>
      <c r="S24" s="1">
        <v>46.774331299995502</v>
      </c>
      <c r="T24" s="1">
        <v>46.790902799999401</v>
      </c>
      <c r="U24" s="1">
        <v>48.408301099996599</v>
      </c>
      <c r="V24" s="1" t="s">
        <v>32</v>
      </c>
      <c r="W24" s="1">
        <v>1.6181809999979999</v>
      </c>
      <c r="X24" s="1" t="s">
        <v>33</v>
      </c>
      <c r="Y24" s="1" t="s">
        <v>43</v>
      </c>
      <c r="Z24" s="1">
        <v>1</v>
      </c>
      <c r="AA24" s="1" t="s">
        <v>44</v>
      </c>
      <c r="AB24" s="1" t="s">
        <v>36</v>
      </c>
      <c r="AC24" s="1"/>
      <c r="AD24" s="1" t="s">
        <v>37</v>
      </c>
      <c r="AE24" s="1">
        <v>60.147300741681299</v>
      </c>
      <c r="AF24" s="1" t="s">
        <v>45</v>
      </c>
    </row>
    <row r="25" spans="1:32" x14ac:dyDescent="0.35">
      <c r="A25" s="1">
        <v>98</v>
      </c>
      <c r="B25" s="1">
        <v>120</v>
      </c>
      <c r="C25" s="1">
        <v>230</v>
      </c>
      <c r="D25" s="1">
        <v>23</v>
      </c>
      <c r="E25" s="1">
        <v>3</v>
      </c>
      <c r="F25" s="1">
        <v>2</v>
      </c>
      <c r="G25" s="1" t="s">
        <v>32</v>
      </c>
      <c r="H25" s="1">
        <v>2.9244782000023402</v>
      </c>
      <c r="I25" s="1" t="s">
        <v>33</v>
      </c>
      <c r="J25" s="1">
        <v>2</v>
      </c>
      <c r="K25" s="1">
        <v>3</v>
      </c>
      <c r="L25" s="1">
        <v>23</v>
      </c>
      <c r="M25" s="1">
        <v>8</v>
      </c>
      <c r="N25" s="1">
        <v>48.4238789999944</v>
      </c>
      <c r="O25" s="1"/>
      <c r="P25" s="1">
        <v>48.4164780999999</v>
      </c>
      <c r="Q25" s="1">
        <v>48.4238789999944</v>
      </c>
      <c r="R25" s="1">
        <v>49.4238209999966</v>
      </c>
      <c r="S25" s="1">
        <v>49.4238209999966</v>
      </c>
      <c r="T25" s="1">
        <v>49.4238209999966</v>
      </c>
      <c r="U25" s="1">
        <v>52.357487899993401</v>
      </c>
      <c r="V25" s="1" t="s">
        <v>32</v>
      </c>
      <c r="W25" s="1">
        <v>2.9244782000023402</v>
      </c>
      <c r="X25" s="1" t="s">
        <v>33</v>
      </c>
      <c r="Y25" s="1" t="s">
        <v>43</v>
      </c>
      <c r="Z25" s="1">
        <v>1</v>
      </c>
      <c r="AA25" s="1" t="s">
        <v>44</v>
      </c>
      <c r="AB25" s="1" t="s">
        <v>36</v>
      </c>
      <c r="AC25" s="1"/>
      <c r="AD25" s="1" t="s">
        <v>37</v>
      </c>
      <c r="AE25" s="1">
        <v>60.147300741681299</v>
      </c>
      <c r="AF25" s="1" t="s">
        <v>45</v>
      </c>
    </row>
    <row r="26" spans="1:32" x14ac:dyDescent="0.35">
      <c r="A26" s="1">
        <v>67</v>
      </c>
      <c r="B26" s="1">
        <v>75</v>
      </c>
      <c r="C26" s="1">
        <v>119</v>
      </c>
      <c r="D26" s="1">
        <v>24</v>
      </c>
      <c r="E26" s="1">
        <v>4</v>
      </c>
      <c r="F26" s="1">
        <v>2</v>
      </c>
      <c r="G26" s="1" t="s">
        <v>32</v>
      </c>
      <c r="H26" s="1">
        <v>0.55192460000398502</v>
      </c>
      <c r="I26" s="1" t="s">
        <v>33</v>
      </c>
      <c r="J26" s="1">
        <v>2</v>
      </c>
      <c r="K26" s="1">
        <v>4</v>
      </c>
      <c r="L26" s="1">
        <v>24</v>
      </c>
      <c r="M26" s="1">
        <v>5</v>
      </c>
      <c r="N26" s="1">
        <v>52.373255999998896</v>
      </c>
      <c r="O26" s="1"/>
      <c r="P26" s="1">
        <v>52.364347399998202</v>
      </c>
      <c r="Q26" s="1">
        <v>52.373255999998896</v>
      </c>
      <c r="R26" s="1">
        <v>53.3731086999978</v>
      </c>
      <c r="S26" s="1">
        <v>53.3731086999978</v>
      </c>
      <c r="T26" s="1">
        <v>53.3731086999978</v>
      </c>
      <c r="U26" s="1">
        <v>53.940746999993202</v>
      </c>
      <c r="V26" s="1" t="s">
        <v>32</v>
      </c>
      <c r="W26" s="1">
        <v>0.55192460000398502</v>
      </c>
      <c r="X26" s="1" t="s">
        <v>33</v>
      </c>
      <c r="Y26" s="1" t="s">
        <v>43</v>
      </c>
      <c r="Z26" s="1">
        <v>1</v>
      </c>
      <c r="AA26" s="1" t="s">
        <v>44</v>
      </c>
      <c r="AB26" s="1" t="s">
        <v>36</v>
      </c>
      <c r="AC26" s="1"/>
      <c r="AD26" s="1" t="s">
        <v>37</v>
      </c>
      <c r="AE26" s="1">
        <v>60.147300741681299</v>
      </c>
      <c r="AF26" s="1" t="s">
        <v>45</v>
      </c>
    </row>
    <row r="27" spans="1:32" x14ac:dyDescent="0.35">
      <c r="A27" s="1">
        <v>27</v>
      </c>
      <c r="B27" s="1">
        <v>50</v>
      </c>
      <c r="C27" s="1">
        <v>21</v>
      </c>
      <c r="D27" s="1">
        <v>25</v>
      </c>
      <c r="E27" s="1">
        <v>5</v>
      </c>
      <c r="F27" s="1">
        <v>2</v>
      </c>
      <c r="G27" s="1" t="s">
        <v>32</v>
      </c>
      <c r="H27" s="1">
        <v>0.90508779999800004</v>
      </c>
      <c r="I27" s="1" t="s">
        <v>33</v>
      </c>
      <c r="J27" s="1">
        <v>2</v>
      </c>
      <c r="K27" s="1">
        <v>5</v>
      </c>
      <c r="L27" s="1">
        <v>25</v>
      </c>
      <c r="M27" s="1">
        <v>2</v>
      </c>
      <c r="N27" s="1">
        <v>53.956509499999797</v>
      </c>
      <c r="O27" s="1"/>
      <c r="P27" s="1">
        <v>53.946705799993602</v>
      </c>
      <c r="Q27" s="1">
        <v>53.956509499999797</v>
      </c>
      <c r="R27" s="1">
        <v>54.956300199999497</v>
      </c>
      <c r="S27" s="1">
        <v>54.956300199999497</v>
      </c>
      <c r="T27" s="1">
        <v>54.956300199999497</v>
      </c>
      <c r="U27" s="1">
        <v>55.873407999999401</v>
      </c>
      <c r="V27" s="1" t="s">
        <v>32</v>
      </c>
      <c r="W27" s="1">
        <v>0.90508779999800004</v>
      </c>
      <c r="X27" s="1" t="s">
        <v>33</v>
      </c>
      <c r="Y27" s="1" t="s">
        <v>43</v>
      </c>
      <c r="Z27" s="1">
        <v>1</v>
      </c>
      <c r="AA27" s="1" t="s">
        <v>44</v>
      </c>
      <c r="AB27" s="1" t="s">
        <v>36</v>
      </c>
      <c r="AC27" s="1"/>
      <c r="AD27" s="1" t="s">
        <v>37</v>
      </c>
      <c r="AE27" s="1">
        <v>60.147300741681299</v>
      </c>
      <c r="AF27" s="1" t="s">
        <v>45</v>
      </c>
    </row>
    <row r="28" spans="1:32" x14ac:dyDescent="0.35">
      <c r="A28" s="1">
        <v>110</v>
      </c>
      <c r="B28" s="1">
        <v>135</v>
      </c>
      <c r="C28" s="1">
        <v>270</v>
      </c>
      <c r="D28" s="1">
        <v>26</v>
      </c>
      <c r="E28" s="1">
        <v>6</v>
      </c>
      <c r="F28" s="1">
        <v>2</v>
      </c>
      <c r="G28" s="1" t="s">
        <v>32</v>
      </c>
      <c r="H28" s="1">
        <v>0.60650059999897998</v>
      </c>
      <c r="I28" s="1" t="s">
        <v>33</v>
      </c>
      <c r="J28" s="1">
        <v>2</v>
      </c>
      <c r="K28" s="1">
        <v>6</v>
      </c>
      <c r="L28" s="1">
        <v>26</v>
      </c>
      <c r="M28" s="1">
        <v>9</v>
      </c>
      <c r="N28" s="1">
        <v>55.889472599999799</v>
      </c>
      <c r="O28" s="1"/>
      <c r="P28" s="1">
        <v>55.879238999994399</v>
      </c>
      <c r="Q28" s="1">
        <v>55.889472599999799</v>
      </c>
      <c r="R28" s="1">
        <v>56.872687099996199</v>
      </c>
      <c r="S28" s="1">
        <v>56.872687099996199</v>
      </c>
      <c r="T28" s="1">
        <v>56.889316599997898</v>
      </c>
      <c r="U28" s="1">
        <v>57.489942099993598</v>
      </c>
      <c r="V28" s="1" t="s">
        <v>32</v>
      </c>
      <c r="W28" s="1">
        <v>0.60650059999897998</v>
      </c>
      <c r="X28" s="1" t="s">
        <v>33</v>
      </c>
      <c r="Y28" s="1" t="s">
        <v>43</v>
      </c>
      <c r="Z28" s="1">
        <v>1</v>
      </c>
      <c r="AA28" s="1" t="s">
        <v>44</v>
      </c>
      <c r="AB28" s="1" t="s">
        <v>36</v>
      </c>
      <c r="AC28" s="1"/>
      <c r="AD28" s="1" t="s">
        <v>37</v>
      </c>
      <c r="AE28" s="1">
        <v>60.147300741681299</v>
      </c>
      <c r="AF28" s="1" t="s">
        <v>45</v>
      </c>
    </row>
    <row r="29" spans="1:32" x14ac:dyDescent="0.35">
      <c r="A29" s="1">
        <v>78</v>
      </c>
      <c r="B29" s="1">
        <v>80</v>
      </c>
      <c r="C29" s="1">
        <v>162</v>
      </c>
      <c r="D29" s="1">
        <v>27</v>
      </c>
      <c r="E29" s="1">
        <v>7</v>
      </c>
      <c r="F29" s="1">
        <v>2</v>
      </c>
      <c r="G29" s="1" t="s">
        <v>32</v>
      </c>
      <c r="H29" s="1">
        <v>0.64921960000356105</v>
      </c>
      <c r="I29" s="1" t="s">
        <v>33</v>
      </c>
      <c r="J29" s="1">
        <v>2</v>
      </c>
      <c r="K29" s="1">
        <v>7</v>
      </c>
      <c r="L29" s="1">
        <v>27</v>
      </c>
      <c r="M29" s="1">
        <v>6</v>
      </c>
      <c r="N29" s="1">
        <v>57.505711799996703</v>
      </c>
      <c r="O29" s="1"/>
      <c r="P29" s="1">
        <v>57.4959517999959</v>
      </c>
      <c r="Q29" s="1">
        <v>57.505711799996703</v>
      </c>
      <c r="R29" s="1">
        <v>58.489489099993001</v>
      </c>
      <c r="S29" s="1">
        <v>58.489489099993001</v>
      </c>
      <c r="T29" s="1">
        <v>58.505773699995103</v>
      </c>
      <c r="U29" s="1">
        <v>59.139695599995299</v>
      </c>
      <c r="V29" s="1" t="s">
        <v>32</v>
      </c>
      <c r="W29" s="1">
        <v>0.64921960000356105</v>
      </c>
      <c r="X29" s="1" t="s">
        <v>33</v>
      </c>
      <c r="Y29" s="1" t="s">
        <v>43</v>
      </c>
      <c r="Z29" s="1">
        <v>1</v>
      </c>
      <c r="AA29" s="1" t="s">
        <v>44</v>
      </c>
      <c r="AB29" s="1" t="s">
        <v>36</v>
      </c>
      <c r="AC29" s="1"/>
      <c r="AD29" s="1" t="s">
        <v>37</v>
      </c>
      <c r="AE29" s="1">
        <v>60.147300741681299</v>
      </c>
      <c r="AF29" s="1" t="s">
        <v>45</v>
      </c>
    </row>
    <row r="30" spans="1:32" x14ac:dyDescent="0.35">
      <c r="A30" s="1">
        <v>49</v>
      </c>
      <c r="B30" s="1">
        <v>60</v>
      </c>
      <c r="C30" s="1">
        <v>89</v>
      </c>
      <c r="D30" s="1">
        <v>28</v>
      </c>
      <c r="E30" s="1">
        <v>8</v>
      </c>
      <c r="F30" s="1">
        <v>2</v>
      </c>
      <c r="G30" s="1" t="s">
        <v>32</v>
      </c>
      <c r="H30" s="1">
        <v>0.79757519999839099</v>
      </c>
      <c r="I30" s="1" t="s">
        <v>33</v>
      </c>
      <c r="J30" s="1">
        <v>2</v>
      </c>
      <c r="K30" s="1">
        <v>8</v>
      </c>
      <c r="L30" s="1">
        <v>28</v>
      </c>
      <c r="M30" s="1">
        <v>4</v>
      </c>
      <c r="N30" s="1">
        <v>59.155589599998997</v>
      </c>
      <c r="O30" s="1"/>
      <c r="P30" s="1">
        <v>59.145707799994803</v>
      </c>
      <c r="Q30" s="1">
        <v>59.155589599998997</v>
      </c>
      <c r="R30" s="1">
        <v>60.155429499995002</v>
      </c>
      <c r="S30" s="1">
        <v>60.155429499995002</v>
      </c>
      <c r="T30" s="1">
        <v>60.155429499995002</v>
      </c>
      <c r="U30" s="1">
        <v>60.955974399999803</v>
      </c>
      <c r="V30" s="1" t="s">
        <v>32</v>
      </c>
      <c r="W30" s="1">
        <v>0.79757519999839099</v>
      </c>
      <c r="X30" s="1" t="s">
        <v>33</v>
      </c>
      <c r="Y30" s="1" t="s">
        <v>43</v>
      </c>
      <c r="Z30" s="1">
        <v>1</v>
      </c>
      <c r="AA30" s="1" t="s">
        <v>44</v>
      </c>
      <c r="AB30" s="1" t="s">
        <v>36</v>
      </c>
      <c r="AC30" s="1"/>
      <c r="AD30" s="1" t="s">
        <v>37</v>
      </c>
      <c r="AE30" s="1">
        <v>60.147300741681299</v>
      </c>
      <c r="AF30" s="1" t="s">
        <v>45</v>
      </c>
    </row>
    <row r="31" spans="1:32" x14ac:dyDescent="0.35">
      <c r="A31" s="1">
        <v>15</v>
      </c>
      <c r="B31" s="1">
        <v>35</v>
      </c>
      <c r="C31" s="1">
        <v>13</v>
      </c>
      <c r="D31" s="1">
        <v>29</v>
      </c>
      <c r="E31" s="1">
        <v>9</v>
      </c>
      <c r="F31" s="1">
        <v>2</v>
      </c>
      <c r="G31" s="1" t="s">
        <v>39</v>
      </c>
      <c r="H31" s="1">
        <v>0.68074219999834895</v>
      </c>
      <c r="I31" s="1" t="s">
        <v>33</v>
      </c>
      <c r="J31" s="1">
        <v>2</v>
      </c>
      <c r="K31" s="1">
        <v>9</v>
      </c>
      <c r="L31" s="1">
        <v>29</v>
      </c>
      <c r="M31" s="1">
        <v>1</v>
      </c>
      <c r="N31" s="1">
        <v>60.971859999997797</v>
      </c>
      <c r="O31" s="1"/>
      <c r="P31" s="1">
        <v>60.9644609999959</v>
      </c>
      <c r="Q31" s="1">
        <v>60.971859999997797</v>
      </c>
      <c r="R31" s="1">
        <v>61.9552030999984</v>
      </c>
      <c r="S31" s="1">
        <v>61.9552030999984</v>
      </c>
      <c r="T31" s="1">
        <v>61.971713299994001</v>
      </c>
      <c r="U31" s="1">
        <v>62.639669299998701</v>
      </c>
      <c r="V31" s="1" t="s">
        <v>39</v>
      </c>
      <c r="W31" s="1">
        <v>0.68074219999834895</v>
      </c>
      <c r="X31" s="1" t="s">
        <v>33</v>
      </c>
      <c r="Y31" s="1" t="s">
        <v>43</v>
      </c>
      <c r="Z31" s="1">
        <v>1</v>
      </c>
      <c r="AA31" s="1" t="s">
        <v>44</v>
      </c>
      <c r="AB31" s="1" t="s">
        <v>36</v>
      </c>
      <c r="AC31" s="1"/>
      <c r="AD31" s="1" t="s">
        <v>37</v>
      </c>
      <c r="AE31" s="1">
        <v>60.147300741681299</v>
      </c>
      <c r="AF31" s="1" t="s">
        <v>45</v>
      </c>
    </row>
    <row r="32" spans="1:32" x14ac:dyDescent="0.35">
      <c r="A32" s="1">
        <v>67</v>
      </c>
      <c r="B32" s="1">
        <v>75</v>
      </c>
      <c r="C32" s="1">
        <v>119</v>
      </c>
      <c r="D32" s="1">
        <v>30</v>
      </c>
      <c r="E32" s="1">
        <v>0</v>
      </c>
      <c r="F32" s="1">
        <v>3</v>
      </c>
      <c r="G32" s="1" t="s">
        <v>32</v>
      </c>
      <c r="H32" s="1">
        <v>0.61993020000227195</v>
      </c>
      <c r="I32" s="1" t="s">
        <v>33</v>
      </c>
      <c r="J32" s="1">
        <v>3</v>
      </c>
      <c r="K32" s="1">
        <v>0</v>
      </c>
      <c r="L32" s="1">
        <v>30</v>
      </c>
      <c r="M32" s="1">
        <v>5</v>
      </c>
      <c r="N32" s="1">
        <v>62.655241799999203</v>
      </c>
      <c r="O32" s="1"/>
      <c r="P32" s="1">
        <v>62.645978799999199</v>
      </c>
      <c r="Q32" s="1">
        <v>62.655241799999203</v>
      </c>
      <c r="R32" s="1">
        <v>63.654873599996698</v>
      </c>
      <c r="S32" s="1">
        <v>63.654873599996698</v>
      </c>
      <c r="T32" s="1">
        <v>63.654873599996698</v>
      </c>
      <c r="U32" s="1">
        <v>64.288642899999104</v>
      </c>
      <c r="V32" s="1" t="s">
        <v>32</v>
      </c>
      <c r="W32" s="1">
        <v>0.61993020000227195</v>
      </c>
      <c r="X32" s="1" t="s">
        <v>33</v>
      </c>
      <c r="Y32" s="1" t="s">
        <v>43</v>
      </c>
      <c r="Z32" s="1">
        <v>1</v>
      </c>
      <c r="AA32" s="1" t="s">
        <v>44</v>
      </c>
      <c r="AB32" s="1" t="s">
        <v>36</v>
      </c>
      <c r="AC32" s="1"/>
      <c r="AD32" s="1" t="s">
        <v>37</v>
      </c>
      <c r="AE32" s="1">
        <v>60.147300741681299</v>
      </c>
      <c r="AF32" s="1" t="s">
        <v>45</v>
      </c>
    </row>
    <row r="33" spans="1:32" x14ac:dyDescent="0.35">
      <c r="A33" s="1">
        <v>11</v>
      </c>
      <c r="B33" s="1">
        <v>30</v>
      </c>
      <c r="C33" s="1">
        <v>7</v>
      </c>
      <c r="D33" s="1">
        <v>31</v>
      </c>
      <c r="E33" s="1">
        <v>1</v>
      </c>
      <c r="F33" s="1">
        <v>3</v>
      </c>
      <c r="G33" s="1" t="s">
        <v>39</v>
      </c>
      <c r="H33" s="1">
        <v>0.68738299999677099</v>
      </c>
      <c r="I33" s="1" t="s">
        <v>33</v>
      </c>
      <c r="J33" s="1">
        <v>3</v>
      </c>
      <c r="K33" s="1">
        <v>1</v>
      </c>
      <c r="L33" s="1">
        <v>31</v>
      </c>
      <c r="M33" s="1">
        <v>0</v>
      </c>
      <c r="N33" s="1">
        <v>64.321269899999606</v>
      </c>
      <c r="O33" s="1"/>
      <c r="P33" s="1">
        <v>64.293963599993702</v>
      </c>
      <c r="Q33" s="1">
        <v>64.321269899999606</v>
      </c>
      <c r="R33" s="1">
        <v>65.287884199999098</v>
      </c>
      <c r="S33" s="1">
        <v>65.287884199999098</v>
      </c>
      <c r="T33" s="1">
        <v>65.321100999994002</v>
      </c>
      <c r="U33" s="1">
        <v>65.988762999993895</v>
      </c>
      <c r="V33" s="1" t="s">
        <v>39</v>
      </c>
      <c r="W33" s="1">
        <v>0.68738299999677099</v>
      </c>
      <c r="X33" s="1" t="s">
        <v>33</v>
      </c>
      <c r="Y33" s="1" t="s">
        <v>43</v>
      </c>
      <c r="Z33" s="1">
        <v>1</v>
      </c>
      <c r="AA33" s="1" t="s">
        <v>44</v>
      </c>
      <c r="AB33" s="1" t="s">
        <v>36</v>
      </c>
      <c r="AC33" s="1"/>
      <c r="AD33" s="1" t="s">
        <v>37</v>
      </c>
      <c r="AE33" s="1">
        <v>60.147300741681299</v>
      </c>
      <c r="AF33" s="1" t="s">
        <v>45</v>
      </c>
    </row>
    <row r="34" spans="1:32" x14ac:dyDescent="0.35">
      <c r="A34" s="1">
        <v>88</v>
      </c>
      <c r="B34" s="1">
        <v>105</v>
      </c>
      <c r="C34" s="1">
        <v>200</v>
      </c>
      <c r="D34" s="1">
        <v>32</v>
      </c>
      <c r="E34" s="1">
        <v>2</v>
      </c>
      <c r="F34" s="1">
        <v>3</v>
      </c>
      <c r="G34" s="1" t="s">
        <v>32</v>
      </c>
      <c r="H34" s="1">
        <v>0.60213909999583803</v>
      </c>
      <c r="I34" s="1" t="s">
        <v>33</v>
      </c>
      <c r="J34" s="1">
        <v>3</v>
      </c>
      <c r="K34" s="1">
        <v>2</v>
      </c>
      <c r="L34" s="1">
        <v>32</v>
      </c>
      <c r="M34" s="1">
        <v>7</v>
      </c>
      <c r="N34" s="1">
        <v>66.004488499995205</v>
      </c>
      <c r="O34" s="1"/>
      <c r="P34" s="1">
        <v>65.993955899997601</v>
      </c>
      <c r="Q34" s="1">
        <v>66.004488499995205</v>
      </c>
      <c r="R34" s="1">
        <v>67.004346399997303</v>
      </c>
      <c r="S34" s="1">
        <v>67.004346399997303</v>
      </c>
      <c r="T34" s="1">
        <v>67.004346399997303</v>
      </c>
      <c r="U34" s="1">
        <v>67.621636099996906</v>
      </c>
      <c r="V34" s="1" t="s">
        <v>32</v>
      </c>
      <c r="W34" s="1">
        <v>0.60213909999583803</v>
      </c>
      <c r="X34" s="1" t="s">
        <v>33</v>
      </c>
      <c r="Y34" s="1" t="s">
        <v>43</v>
      </c>
      <c r="Z34" s="1">
        <v>1</v>
      </c>
      <c r="AA34" s="1" t="s">
        <v>44</v>
      </c>
      <c r="AB34" s="1" t="s">
        <v>36</v>
      </c>
      <c r="AC34" s="1"/>
      <c r="AD34" s="1" t="s">
        <v>37</v>
      </c>
      <c r="AE34" s="1">
        <v>60.147300741681299</v>
      </c>
      <c r="AF34" s="1" t="s">
        <v>45</v>
      </c>
    </row>
    <row r="35" spans="1:32" x14ac:dyDescent="0.35">
      <c r="A35" s="1">
        <v>15</v>
      </c>
      <c r="B35" s="1">
        <v>35</v>
      </c>
      <c r="C35" s="1">
        <v>13</v>
      </c>
      <c r="D35" s="1">
        <v>33</v>
      </c>
      <c r="E35" s="1">
        <v>3</v>
      </c>
      <c r="F35" s="1">
        <v>3</v>
      </c>
      <c r="G35" s="1" t="s">
        <v>39</v>
      </c>
      <c r="H35" s="1">
        <v>0.77989669999806199</v>
      </c>
      <c r="I35" s="1" t="s">
        <v>33</v>
      </c>
      <c r="J35" s="1">
        <v>3</v>
      </c>
      <c r="K35" s="1">
        <v>3</v>
      </c>
      <c r="L35" s="1">
        <v>33</v>
      </c>
      <c r="M35" s="1">
        <v>1</v>
      </c>
      <c r="N35" s="1">
        <v>67.654317199994694</v>
      </c>
      <c r="O35" s="1"/>
      <c r="P35" s="1">
        <v>67.631662099993207</v>
      </c>
      <c r="Q35" s="1">
        <v>67.654317199994694</v>
      </c>
      <c r="R35" s="1">
        <v>68.637636799998205</v>
      </c>
      <c r="S35" s="1">
        <v>68.637636799998205</v>
      </c>
      <c r="T35" s="1">
        <v>68.654595499996503</v>
      </c>
      <c r="U35" s="1">
        <v>69.421639599997405</v>
      </c>
      <c r="V35" s="1" t="s">
        <v>39</v>
      </c>
      <c r="W35" s="1">
        <v>0.77989669999806199</v>
      </c>
      <c r="X35" s="1" t="s">
        <v>33</v>
      </c>
      <c r="Y35" s="1" t="s">
        <v>43</v>
      </c>
      <c r="Z35" s="1">
        <v>1</v>
      </c>
      <c r="AA35" s="1" t="s">
        <v>44</v>
      </c>
      <c r="AB35" s="1" t="s">
        <v>36</v>
      </c>
      <c r="AC35" s="1"/>
      <c r="AD35" s="1" t="s">
        <v>37</v>
      </c>
      <c r="AE35" s="1">
        <v>60.147300741681299</v>
      </c>
      <c r="AF35" s="1" t="s">
        <v>45</v>
      </c>
    </row>
    <row r="36" spans="1:32" x14ac:dyDescent="0.35">
      <c r="A36" s="1">
        <v>98</v>
      </c>
      <c r="B36" s="1">
        <v>120</v>
      </c>
      <c r="C36" s="1">
        <v>230</v>
      </c>
      <c r="D36" s="1">
        <v>34</v>
      </c>
      <c r="E36" s="1">
        <v>4</v>
      </c>
      <c r="F36" s="1">
        <v>3</v>
      </c>
      <c r="G36" s="1" t="s">
        <v>32</v>
      </c>
      <c r="H36" s="1">
        <v>0.58433230000082403</v>
      </c>
      <c r="I36" s="1" t="s">
        <v>33</v>
      </c>
      <c r="J36" s="1">
        <v>3</v>
      </c>
      <c r="K36" s="1">
        <v>4</v>
      </c>
      <c r="L36" s="1">
        <v>34</v>
      </c>
      <c r="M36" s="1">
        <v>8</v>
      </c>
      <c r="N36" s="1">
        <v>69.437060599993799</v>
      </c>
      <c r="O36" s="1"/>
      <c r="P36" s="1">
        <v>69.426268999995898</v>
      </c>
      <c r="Q36" s="1">
        <v>69.437060599993799</v>
      </c>
      <c r="R36" s="1">
        <v>70.421421399994799</v>
      </c>
      <c r="S36" s="1">
        <v>70.421421399994799</v>
      </c>
      <c r="T36" s="1">
        <v>70.437484699999899</v>
      </c>
      <c r="U36" s="1">
        <v>71.021500599999797</v>
      </c>
      <c r="V36" s="1" t="s">
        <v>32</v>
      </c>
      <c r="W36" s="1">
        <v>0.58433230000082403</v>
      </c>
      <c r="X36" s="1" t="s">
        <v>33</v>
      </c>
      <c r="Y36" s="1" t="s">
        <v>43</v>
      </c>
      <c r="Z36" s="1">
        <v>1</v>
      </c>
      <c r="AA36" s="1" t="s">
        <v>44</v>
      </c>
      <c r="AB36" s="1" t="s">
        <v>36</v>
      </c>
      <c r="AC36" s="1"/>
      <c r="AD36" s="1" t="s">
        <v>37</v>
      </c>
      <c r="AE36" s="1">
        <v>60.147300741681299</v>
      </c>
      <c r="AF36" s="1" t="s">
        <v>45</v>
      </c>
    </row>
    <row r="37" spans="1:32" x14ac:dyDescent="0.35">
      <c r="A37" s="1">
        <v>27</v>
      </c>
      <c r="B37" s="1">
        <v>50</v>
      </c>
      <c r="C37" s="1">
        <v>21</v>
      </c>
      <c r="D37" s="1">
        <v>35</v>
      </c>
      <c r="E37" s="1">
        <v>5</v>
      </c>
      <c r="F37" s="1">
        <v>3</v>
      </c>
      <c r="G37" s="1" t="s">
        <v>32</v>
      </c>
      <c r="H37" s="1">
        <v>1.0357164999950299</v>
      </c>
      <c r="I37" s="1" t="s">
        <v>33</v>
      </c>
      <c r="J37" s="1">
        <v>3</v>
      </c>
      <c r="K37" s="1">
        <v>5</v>
      </c>
      <c r="L37" s="1">
        <v>35</v>
      </c>
      <c r="M37" s="1">
        <v>2</v>
      </c>
      <c r="N37" s="1">
        <v>71.037039099995994</v>
      </c>
      <c r="O37" s="1"/>
      <c r="P37" s="1">
        <v>71.027775999995299</v>
      </c>
      <c r="Q37" s="1">
        <v>71.037039099995994</v>
      </c>
      <c r="R37" s="1">
        <v>72.036830099997999</v>
      </c>
      <c r="S37" s="1">
        <v>72.036830099997999</v>
      </c>
      <c r="T37" s="1">
        <v>72.036830099997999</v>
      </c>
      <c r="U37" s="1">
        <v>73.0871824999994</v>
      </c>
      <c r="V37" s="1" t="s">
        <v>32</v>
      </c>
      <c r="W37" s="1">
        <v>1.0357164999950299</v>
      </c>
      <c r="X37" s="1" t="s">
        <v>33</v>
      </c>
      <c r="Y37" s="1" t="s">
        <v>43</v>
      </c>
      <c r="Z37" s="1">
        <v>1</v>
      </c>
      <c r="AA37" s="1" t="s">
        <v>44</v>
      </c>
      <c r="AB37" s="1" t="s">
        <v>36</v>
      </c>
      <c r="AC37" s="1"/>
      <c r="AD37" s="1" t="s">
        <v>37</v>
      </c>
      <c r="AE37" s="1">
        <v>60.147300741681299</v>
      </c>
      <c r="AF37" s="1" t="s">
        <v>45</v>
      </c>
    </row>
    <row r="38" spans="1:32" x14ac:dyDescent="0.35">
      <c r="A38" s="1">
        <v>78</v>
      </c>
      <c r="B38" s="1">
        <v>80</v>
      </c>
      <c r="C38" s="1">
        <v>162</v>
      </c>
      <c r="D38" s="1">
        <v>36</v>
      </c>
      <c r="E38" s="1">
        <v>6</v>
      </c>
      <c r="F38" s="1">
        <v>3</v>
      </c>
      <c r="G38" s="1" t="s">
        <v>32</v>
      </c>
      <c r="H38" s="1">
        <v>0.52215919999434801</v>
      </c>
      <c r="I38" s="1" t="s">
        <v>33</v>
      </c>
      <c r="J38" s="1">
        <v>3</v>
      </c>
      <c r="K38" s="1">
        <v>6</v>
      </c>
      <c r="L38" s="1">
        <v>36</v>
      </c>
      <c r="M38" s="1">
        <v>6</v>
      </c>
      <c r="N38" s="1">
        <v>73.103156399993097</v>
      </c>
      <c r="O38" s="1"/>
      <c r="P38" s="1">
        <v>73.092014299996606</v>
      </c>
      <c r="Q38" s="1">
        <v>73.103156399993097</v>
      </c>
      <c r="R38" s="1">
        <v>74.086441299994405</v>
      </c>
      <c r="S38" s="1">
        <v>74.086441299994405</v>
      </c>
      <c r="T38" s="1">
        <v>74.103178099998303</v>
      </c>
      <c r="U38" s="1">
        <v>74.620919499997399</v>
      </c>
      <c r="V38" s="1" t="s">
        <v>32</v>
      </c>
      <c r="W38" s="1">
        <v>0.52215919999434801</v>
      </c>
      <c r="X38" s="1" t="s">
        <v>33</v>
      </c>
      <c r="Y38" s="1" t="s">
        <v>43</v>
      </c>
      <c r="Z38" s="1">
        <v>1</v>
      </c>
      <c r="AA38" s="1" t="s">
        <v>44</v>
      </c>
      <c r="AB38" s="1" t="s">
        <v>36</v>
      </c>
      <c r="AC38" s="1"/>
      <c r="AD38" s="1" t="s">
        <v>37</v>
      </c>
      <c r="AE38" s="1">
        <v>60.147300741681299</v>
      </c>
      <c r="AF38" s="1" t="s">
        <v>45</v>
      </c>
    </row>
    <row r="39" spans="1:32" x14ac:dyDescent="0.35">
      <c r="A39" s="1">
        <v>49</v>
      </c>
      <c r="B39" s="1">
        <v>60</v>
      </c>
      <c r="C39" s="1">
        <v>89</v>
      </c>
      <c r="D39" s="1">
        <v>37</v>
      </c>
      <c r="E39" s="1">
        <v>7</v>
      </c>
      <c r="F39" s="1">
        <v>3</v>
      </c>
      <c r="G39" s="1" t="s">
        <v>32</v>
      </c>
      <c r="H39" s="1">
        <v>0.70136210000055099</v>
      </c>
      <c r="I39" s="1" t="s">
        <v>33</v>
      </c>
      <c r="J39" s="1">
        <v>3</v>
      </c>
      <c r="K39" s="1">
        <v>7</v>
      </c>
      <c r="L39" s="1">
        <v>37</v>
      </c>
      <c r="M39" s="1">
        <v>4</v>
      </c>
      <c r="N39" s="1">
        <v>74.653240999999895</v>
      </c>
      <c r="O39" s="1"/>
      <c r="P39" s="1">
        <v>74.630862399993902</v>
      </c>
      <c r="Q39" s="1">
        <v>74.653240999999895</v>
      </c>
      <c r="R39" s="1">
        <v>75.636159599998706</v>
      </c>
      <c r="S39" s="1">
        <v>75.636159599998706</v>
      </c>
      <c r="T39" s="1">
        <v>75.652852499995703</v>
      </c>
      <c r="U39" s="1">
        <v>76.353626599993703</v>
      </c>
      <c r="V39" s="1" t="s">
        <v>32</v>
      </c>
      <c r="W39" s="1">
        <v>0.70136210000055099</v>
      </c>
      <c r="X39" s="1" t="s">
        <v>33</v>
      </c>
      <c r="Y39" s="1" t="s">
        <v>43</v>
      </c>
      <c r="Z39" s="1">
        <v>1</v>
      </c>
      <c r="AA39" s="1" t="s">
        <v>44</v>
      </c>
      <c r="AB39" s="1" t="s">
        <v>36</v>
      </c>
      <c r="AC39" s="1"/>
      <c r="AD39" s="1" t="s">
        <v>37</v>
      </c>
      <c r="AE39" s="1">
        <v>60.147300741681299</v>
      </c>
      <c r="AF39" s="1" t="s">
        <v>45</v>
      </c>
    </row>
    <row r="40" spans="1:32" x14ac:dyDescent="0.35">
      <c r="A40" s="1">
        <v>110</v>
      </c>
      <c r="B40" s="1">
        <v>135</v>
      </c>
      <c r="C40" s="1">
        <v>270</v>
      </c>
      <c r="D40" s="1">
        <v>38</v>
      </c>
      <c r="E40" s="1">
        <v>8</v>
      </c>
      <c r="F40" s="1">
        <v>3</v>
      </c>
      <c r="G40" s="1" t="s">
        <v>32</v>
      </c>
      <c r="H40" s="1">
        <v>0.86798229999840204</v>
      </c>
      <c r="I40" s="1" t="s">
        <v>33</v>
      </c>
      <c r="J40" s="1">
        <v>3</v>
      </c>
      <c r="K40" s="1">
        <v>8</v>
      </c>
      <c r="L40" s="1">
        <v>38</v>
      </c>
      <c r="M40" s="1">
        <v>9</v>
      </c>
      <c r="N40" s="1">
        <v>76.369185699993906</v>
      </c>
      <c r="O40" s="1"/>
      <c r="P40" s="1">
        <v>76.361542899998298</v>
      </c>
      <c r="Q40" s="1">
        <v>76.369185699993906</v>
      </c>
      <c r="R40" s="1">
        <v>77.369077099996503</v>
      </c>
      <c r="S40" s="1">
        <v>77.369077099996503</v>
      </c>
      <c r="T40" s="1">
        <v>77.369077099996503</v>
      </c>
      <c r="U40" s="1">
        <v>78.253081599999803</v>
      </c>
      <c r="V40" s="1" t="s">
        <v>32</v>
      </c>
      <c r="W40" s="1">
        <v>0.86798229999840204</v>
      </c>
      <c r="X40" s="1" t="s">
        <v>33</v>
      </c>
      <c r="Y40" s="1" t="s">
        <v>43</v>
      </c>
      <c r="Z40" s="1">
        <v>1</v>
      </c>
      <c r="AA40" s="1" t="s">
        <v>44</v>
      </c>
      <c r="AB40" s="1" t="s">
        <v>36</v>
      </c>
      <c r="AC40" s="1"/>
      <c r="AD40" s="1" t="s">
        <v>37</v>
      </c>
      <c r="AE40" s="1">
        <v>60.147300741681299</v>
      </c>
      <c r="AF40" s="1" t="s">
        <v>45</v>
      </c>
    </row>
    <row r="41" spans="1:32" x14ac:dyDescent="0.35">
      <c r="A41" s="1">
        <v>40</v>
      </c>
      <c r="B41" s="1">
        <v>55</v>
      </c>
      <c r="C41" s="1">
        <v>62</v>
      </c>
      <c r="D41" s="1">
        <v>39</v>
      </c>
      <c r="E41" s="1">
        <v>9</v>
      </c>
      <c r="F41" s="1">
        <v>3</v>
      </c>
      <c r="G41" s="1" t="s">
        <v>32</v>
      </c>
      <c r="H41" s="1">
        <v>0.74244049999833805</v>
      </c>
      <c r="I41" s="1" t="s">
        <v>33</v>
      </c>
      <c r="J41" s="1">
        <v>3</v>
      </c>
      <c r="K41" s="1">
        <v>9</v>
      </c>
      <c r="L41" s="1">
        <v>39</v>
      </c>
      <c r="M41" s="1">
        <v>3</v>
      </c>
      <c r="N41" s="1">
        <v>78.268966399999002</v>
      </c>
      <c r="O41" s="1"/>
      <c r="P41" s="1">
        <v>78.260410899994895</v>
      </c>
      <c r="Q41" s="1">
        <v>78.268966399999002</v>
      </c>
      <c r="R41" s="1">
        <v>79.252337799996894</v>
      </c>
      <c r="S41" s="1">
        <v>79.252337799996894</v>
      </c>
      <c r="T41" s="1">
        <v>79.268793499999404</v>
      </c>
      <c r="U41" s="1">
        <v>80.0028235999998</v>
      </c>
      <c r="V41" s="1" t="s">
        <v>32</v>
      </c>
      <c r="W41" s="1">
        <v>0.74244049999833805</v>
      </c>
      <c r="X41" s="1" t="s">
        <v>33</v>
      </c>
      <c r="Y41" s="1" t="s">
        <v>43</v>
      </c>
      <c r="Z41" s="1">
        <v>1</v>
      </c>
      <c r="AA41" s="1" t="s">
        <v>44</v>
      </c>
      <c r="AB41" s="1" t="s">
        <v>36</v>
      </c>
      <c r="AC41" s="1"/>
      <c r="AD41" s="1" t="s">
        <v>37</v>
      </c>
      <c r="AE41" s="1">
        <v>60.147300741681299</v>
      </c>
      <c r="AF41" s="1" t="s">
        <v>45</v>
      </c>
    </row>
    <row r="42" spans="1:32" x14ac:dyDescent="0.35">
      <c r="A42" s="1">
        <v>88</v>
      </c>
      <c r="B42" s="1">
        <v>105</v>
      </c>
      <c r="C42" s="1">
        <v>200</v>
      </c>
      <c r="D42" s="1">
        <v>40</v>
      </c>
      <c r="E42" s="1">
        <v>0</v>
      </c>
      <c r="F42" s="1">
        <v>4</v>
      </c>
      <c r="G42" s="1" t="s">
        <v>32</v>
      </c>
      <c r="H42" s="1">
        <v>0.83598100000381204</v>
      </c>
      <c r="I42" s="1" t="s">
        <v>33</v>
      </c>
      <c r="J42" s="1">
        <v>4</v>
      </c>
      <c r="K42" s="1">
        <v>0</v>
      </c>
      <c r="L42" s="1">
        <v>40</v>
      </c>
      <c r="M42" s="1">
        <v>7</v>
      </c>
      <c r="N42" s="1">
        <v>80.018843299992994</v>
      </c>
      <c r="O42" s="1"/>
      <c r="P42" s="1">
        <v>80.008049399999393</v>
      </c>
      <c r="Q42" s="1">
        <v>80.018843299992994</v>
      </c>
      <c r="R42" s="1">
        <v>81.002360399994302</v>
      </c>
      <c r="S42" s="1">
        <v>81.002360399994302</v>
      </c>
      <c r="T42" s="1">
        <v>81.018714099998704</v>
      </c>
      <c r="U42" s="1">
        <v>81.852503099995303</v>
      </c>
      <c r="V42" s="1" t="s">
        <v>32</v>
      </c>
      <c r="W42" s="1">
        <v>0.83598100000381204</v>
      </c>
      <c r="X42" s="1" t="s">
        <v>33</v>
      </c>
      <c r="Y42" s="1" t="s">
        <v>43</v>
      </c>
      <c r="Z42" s="1">
        <v>1</v>
      </c>
      <c r="AA42" s="1" t="s">
        <v>44</v>
      </c>
      <c r="AB42" s="1" t="s">
        <v>36</v>
      </c>
      <c r="AC42" s="1"/>
      <c r="AD42" s="1" t="s">
        <v>37</v>
      </c>
      <c r="AE42" s="1">
        <v>60.147300741681299</v>
      </c>
      <c r="AF42" s="1" t="s">
        <v>45</v>
      </c>
    </row>
    <row r="43" spans="1:32" x14ac:dyDescent="0.35">
      <c r="A43" s="1">
        <v>40</v>
      </c>
      <c r="B43" s="1">
        <v>55</v>
      </c>
      <c r="C43" s="1">
        <v>62</v>
      </c>
      <c r="D43" s="1">
        <v>41</v>
      </c>
      <c r="E43" s="1">
        <v>1</v>
      </c>
      <c r="F43" s="1">
        <v>4</v>
      </c>
      <c r="G43" s="1" t="s">
        <v>32</v>
      </c>
      <c r="H43" s="1">
        <v>4.0668884999977299</v>
      </c>
      <c r="I43" s="1" t="s">
        <v>33</v>
      </c>
      <c r="J43" s="1">
        <v>4</v>
      </c>
      <c r="K43" s="1">
        <v>1</v>
      </c>
      <c r="L43" s="1">
        <v>41</v>
      </c>
      <c r="M43" s="1">
        <v>3</v>
      </c>
      <c r="N43" s="1">
        <v>81.868588999997797</v>
      </c>
      <c r="O43" s="1"/>
      <c r="P43" s="1">
        <v>81.857851799999395</v>
      </c>
      <c r="Q43" s="1">
        <v>81.868588999997797</v>
      </c>
      <c r="R43" s="1">
        <v>82.851672400000098</v>
      </c>
      <c r="S43" s="1">
        <v>82.851672400000098</v>
      </c>
      <c r="T43" s="1">
        <v>82.868348899995894</v>
      </c>
      <c r="U43" s="1">
        <v>86.935610699998506</v>
      </c>
      <c r="V43" s="1" t="s">
        <v>32</v>
      </c>
      <c r="W43" s="1">
        <v>4.0668884999977299</v>
      </c>
      <c r="X43" s="1" t="s">
        <v>33</v>
      </c>
      <c r="Y43" s="1" t="s">
        <v>43</v>
      </c>
      <c r="Z43" s="1">
        <v>1</v>
      </c>
      <c r="AA43" s="1" t="s">
        <v>44</v>
      </c>
      <c r="AB43" s="1" t="s">
        <v>36</v>
      </c>
      <c r="AC43" s="1"/>
      <c r="AD43" s="1" t="s">
        <v>37</v>
      </c>
      <c r="AE43" s="1">
        <v>60.147300741681299</v>
      </c>
      <c r="AF43" s="1" t="s">
        <v>45</v>
      </c>
    </row>
    <row r="44" spans="1:32" x14ac:dyDescent="0.35">
      <c r="A44" s="1">
        <v>110</v>
      </c>
      <c r="B44" s="1">
        <v>135</v>
      </c>
      <c r="C44" s="1">
        <v>270</v>
      </c>
      <c r="D44" s="1">
        <v>42</v>
      </c>
      <c r="E44" s="1">
        <v>2</v>
      </c>
      <c r="F44" s="1">
        <v>4</v>
      </c>
      <c r="G44" s="1" t="s">
        <v>32</v>
      </c>
      <c r="H44" s="1">
        <v>0.75561400000151402</v>
      </c>
      <c r="I44" s="1" t="s">
        <v>33</v>
      </c>
      <c r="J44" s="1">
        <v>4</v>
      </c>
      <c r="K44" s="1">
        <v>2</v>
      </c>
      <c r="L44" s="1">
        <v>42</v>
      </c>
      <c r="M44" s="1">
        <v>9</v>
      </c>
      <c r="N44" s="1">
        <v>86.950937399997201</v>
      </c>
      <c r="O44" s="1"/>
      <c r="P44" s="1">
        <v>86.943820499996903</v>
      </c>
      <c r="Q44" s="1">
        <v>86.950937399997201</v>
      </c>
      <c r="R44" s="1">
        <v>87.950897299997393</v>
      </c>
      <c r="S44" s="1">
        <v>87.950897299997393</v>
      </c>
      <c r="T44" s="1">
        <v>87.950897299997393</v>
      </c>
      <c r="U44" s="1">
        <v>88.718312799995999</v>
      </c>
      <c r="V44" s="1" t="s">
        <v>32</v>
      </c>
      <c r="W44" s="1">
        <v>0.75561400000151402</v>
      </c>
      <c r="X44" s="1" t="s">
        <v>33</v>
      </c>
      <c r="Y44" s="1" t="s">
        <v>43</v>
      </c>
      <c r="Z44" s="1">
        <v>1</v>
      </c>
      <c r="AA44" s="1" t="s">
        <v>44</v>
      </c>
      <c r="AB44" s="1" t="s">
        <v>36</v>
      </c>
      <c r="AC44" s="1"/>
      <c r="AD44" s="1" t="s">
        <v>37</v>
      </c>
      <c r="AE44" s="1">
        <v>60.147300741681299</v>
      </c>
      <c r="AF44" s="1" t="s">
        <v>45</v>
      </c>
    </row>
    <row r="45" spans="1:32" x14ac:dyDescent="0.35">
      <c r="A45" s="1">
        <v>98</v>
      </c>
      <c r="B45" s="1">
        <v>120</v>
      </c>
      <c r="C45" s="1">
        <v>230</v>
      </c>
      <c r="D45" s="1">
        <v>43</v>
      </c>
      <c r="E45" s="1">
        <v>3</v>
      </c>
      <c r="F45" s="1">
        <v>4</v>
      </c>
      <c r="G45" s="1" t="s">
        <v>32</v>
      </c>
      <c r="H45" s="1">
        <v>0.720997700002044</v>
      </c>
      <c r="I45" s="1" t="s">
        <v>33</v>
      </c>
      <c r="J45" s="1">
        <v>4</v>
      </c>
      <c r="K45" s="1">
        <v>3</v>
      </c>
      <c r="L45" s="1">
        <v>43</v>
      </c>
      <c r="M45" s="1">
        <v>8</v>
      </c>
      <c r="N45" s="1">
        <v>88.751536099996798</v>
      </c>
      <c r="O45" s="1"/>
      <c r="P45" s="1">
        <v>88.727507799994697</v>
      </c>
      <c r="Q45" s="1">
        <v>88.751536099996798</v>
      </c>
      <c r="R45" s="1">
        <v>89.734174499993898</v>
      </c>
      <c r="S45" s="1">
        <v>89.734174499993898</v>
      </c>
      <c r="T45" s="1">
        <v>89.750536099992999</v>
      </c>
      <c r="U45" s="1">
        <v>90.468278899999802</v>
      </c>
      <c r="V45" s="1" t="s">
        <v>32</v>
      </c>
      <c r="W45" s="1">
        <v>0.720997700002044</v>
      </c>
      <c r="X45" s="1" t="s">
        <v>33</v>
      </c>
      <c r="Y45" s="1" t="s">
        <v>43</v>
      </c>
      <c r="Z45" s="1">
        <v>1</v>
      </c>
      <c r="AA45" s="1" t="s">
        <v>44</v>
      </c>
      <c r="AB45" s="1" t="s">
        <v>36</v>
      </c>
      <c r="AC45" s="1"/>
      <c r="AD45" s="1" t="s">
        <v>37</v>
      </c>
      <c r="AE45" s="1">
        <v>60.147300741681299</v>
      </c>
      <c r="AF45" s="1" t="s">
        <v>45</v>
      </c>
    </row>
    <row r="46" spans="1:32" x14ac:dyDescent="0.35">
      <c r="A46" s="1">
        <v>49</v>
      </c>
      <c r="B46" s="1">
        <v>60</v>
      </c>
      <c r="C46" s="1">
        <v>89</v>
      </c>
      <c r="D46" s="1">
        <v>44</v>
      </c>
      <c r="E46" s="1">
        <v>4</v>
      </c>
      <c r="F46" s="1">
        <v>4</v>
      </c>
      <c r="G46" s="1" t="s">
        <v>32</v>
      </c>
      <c r="H46" s="1">
        <v>0.61409119999734596</v>
      </c>
      <c r="I46" s="1" t="s">
        <v>33</v>
      </c>
      <c r="J46" s="1">
        <v>4</v>
      </c>
      <c r="K46" s="1">
        <v>4</v>
      </c>
      <c r="L46" s="1">
        <v>44</v>
      </c>
      <c r="M46" s="1">
        <v>4</v>
      </c>
      <c r="N46" s="1">
        <v>90.484270899993106</v>
      </c>
      <c r="O46" s="1"/>
      <c r="P46" s="1">
        <v>90.474253999993294</v>
      </c>
      <c r="Q46" s="1">
        <v>90.484270899993106</v>
      </c>
      <c r="R46" s="1">
        <v>91.484329699997005</v>
      </c>
      <c r="S46" s="1">
        <v>91.484329699997005</v>
      </c>
      <c r="T46" s="1">
        <v>91.484329699997005</v>
      </c>
      <c r="U46" s="1">
        <v>92.100961500000196</v>
      </c>
      <c r="V46" s="1" t="s">
        <v>32</v>
      </c>
      <c r="W46" s="1">
        <v>0.61409119999734596</v>
      </c>
      <c r="X46" s="1" t="s">
        <v>33</v>
      </c>
      <c r="Y46" s="1" t="s">
        <v>43</v>
      </c>
      <c r="Z46" s="1">
        <v>1</v>
      </c>
      <c r="AA46" s="1" t="s">
        <v>44</v>
      </c>
      <c r="AB46" s="1" t="s">
        <v>36</v>
      </c>
      <c r="AC46" s="1"/>
      <c r="AD46" s="1" t="s">
        <v>37</v>
      </c>
      <c r="AE46" s="1">
        <v>60.147300741681299</v>
      </c>
      <c r="AF46" s="1" t="s">
        <v>45</v>
      </c>
    </row>
    <row r="47" spans="1:32" x14ac:dyDescent="0.35">
      <c r="A47" s="1">
        <v>67</v>
      </c>
      <c r="B47" s="1">
        <v>75</v>
      </c>
      <c r="C47" s="1">
        <v>119</v>
      </c>
      <c r="D47" s="1">
        <v>45</v>
      </c>
      <c r="E47" s="1">
        <v>5</v>
      </c>
      <c r="F47" s="1">
        <v>4</v>
      </c>
      <c r="G47" s="1" t="s">
        <v>32</v>
      </c>
      <c r="H47" s="1">
        <v>2.2380932000014502</v>
      </c>
      <c r="I47" s="1" t="s">
        <v>33</v>
      </c>
      <c r="J47" s="1">
        <v>4</v>
      </c>
      <c r="K47" s="1">
        <v>5</v>
      </c>
      <c r="L47" s="1">
        <v>45</v>
      </c>
      <c r="M47" s="1">
        <v>5</v>
      </c>
      <c r="N47" s="1">
        <v>92.116740299999904</v>
      </c>
      <c r="O47" s="1"/>
      <c r="P47" s="1">
        <v>92.108146599995905</v>
      </c>
      <c r="Q47" s="1">
        <v>92.116740299999904</v>
      </c>
      <c r="R47" s="1">
        <v>93.116741599995294</v>
      </c>
      <c r="S47" s="1">
        <v>93.116741599995294</v>
      </c>
      <c r="T47" s="1">
        <v>93.116741599995294</v>
      </c>
      <c r="U47" s="1">
        <v>95.367519100000194</v>
      </c>
      <c r="V47" s="1" t="s">
        <v>32</v>
      </c>
      <c r="W47" s="1">
        <v>2.2380932000014502</v>
      </c>
      <c r="X47" s="1" t="s">
        <v>33</v>
      </c>
      <c r="Y47" s="1" t="s">
        <v>43</v>
      </c>
      <c r="Z47" s="1">
        <v>1</v>
      </c>
      <c r="AA47" s="1" t="s">
        <v>44</v>
      </c>
      <c r="AB47" s="1" t="s">
        <v>36</v>
      </c>
      <c r="AC47" s="1"/>
      <c r="AD47" s="1" t="s">
        <v>37</v>
      </c>
      <c r="AE47" s="1">
        <v>60.147300741681299</v>
      </c>
      <c r="AF47" s="1" t="s">
        <v>45</v>
      </c>
    </row>
    <row r="48" spans="1:32" x14ac:dyDescent="0.35">
      <c r="A48" s="1">
        <v>78</v>
      </c>
      <c r="B48" s="1">
        <v>80</v>
      </c>
      <c r="C48" s="1">
        <v>162</v>
      </c>
      <c r="D48" s="1">
        <v>46</v>
      </c>
      <c r="E48" s="1">
        <v>6</v>
      </c>
      <c r="F48" s="1">
        <v>4</v>
      </c>
      <c r="G48" s="1" t="s">
        <v>32</v>
      </c>
      <c r="H48" s="1">
        <v>0.64861369999562102</v>
      </c>
      <c r="I48" s="1" t="s">
        <v>33</v>
      </c>
      <c r="J48" s="1">
        <v>4</v>
      </c>
      <c r="K48" s="1">
        <v>6</v>
      </c>
      <c r="L48" s="1">
        <v>46</v>
      </c>
      <c r="M48" s="1">
        <v>6</v>
      </c>
      <c r="N48" s="1">
        <v>95.382834299998606</v>
      </c>
      <c r="O48" s="1"/>
      <c r="P48" s="1">
        <v>95.375419199997793</v>
      </c>
      <c r="Q48" s="1">
        <v>95.382834299998606</v>
      </c>
      <c r="R48" s="1">
        <v>96.382672899999307</v>
      </c>
      <c r="S48" s="1">
        <v>96.382672899999307</v>
      </c>
      <c r="T48" s="1">
        <v>96.382672899999307</v>
      </c>
      <c r="U48" s="1">
        <v>97.033602999996205</v>
      </c>
      <c r="V48" s="1" t="s">
        <v>32</v>
      </c>
      <c r="W48" s="1">
        <v>0.64861369999562102</v>
      </c>
      <c r="X48" s="1" t="s">
        <v>33</v>
      </c>
      <c r="Y48" s="1" t="s">
        <v>43</v>
      </c>
      <c r="Z48" s="1">
        <v>1</v>
      </c>
      <c r="AA48" s="1" t="s">
        <v>44</v>
      </c>
      <c r="AB48" s="1" t="s">
        <v>36</v>
      </c>
      <c r="AC48" s="1"/>
      <c r="AD48" s="1" t="s">
        <v>37</v>
      </c>
      <c r="AE48" s="1">
        <v>60.147300741681299</v>
      </c>
      <c r="AF48" s="1" t="s">
        <v>45</v>
      </c>
    </row>
    <row r="49" spans="1:32" x14ac:dyDescent="0.35">
      <c r="A49" s="1">
        <v>15</v>
      </c>
      <c r="B49" s="1">
        <v>35</v>
      </c>
      <c r="C49" s="1">
        <v>13</v>
      </c>
      <c r="D49" s="1">
        <v>47</v>
      </c>
      <c r="E49" s="1">
        <v>7</v>
      </c>
      <c r="F49" s="1">
        <v>4</v>
      </c>
      <c r="G49" s="1" t="s">
        <v>39</v>
      </c>
      <c r="H49" s="1">
        <v>0.79526479999913102</v>
      </c>
      <c r="I49" s="1" t="s">
        <v>33</v>
      </c>
      <c r="J49" s="1">
        <v>4</v>
      </c>
      <c r="K49" s="1">
        <v>7</v>
      </c>
      <c r="L49" s="1">
        <v>47</v>
      </c>
      <c r="M49" s="1">
        <v>1</v>
      </c>
      <c r="N49" s="1">
        <v>97.066047499996699</v>
      </c>
      <c r="O49" s="1"/>
      <c r="P49" s="1">
        <v>97.042949899994696</v>
      </c>
      <c r="Q49" s="1">
        <v>97.066047499996699</v>
      </c>
      <c r="R49" s="1">
        <v>98.049220599997994</v>
      </c>
      <c r="S49" s="1">
        <v>98.049220599997994</v>
      </c>
      <c r="T49" s="1">
        <v>98.065915099999899</v>
      </c>
      <c r="U49" s="1">
        <v>98.849697199999298</v>
      </c>
      <c r="V49" s="1" t="s">
        <v>39</v>
      </c>
      <c r="W49" s="1">
        <v>0.79526479999913102</v>
      </c>
      <c r="X49" s="1" t="s">
        <v>33</v>
      </c>
      <c r="Y49" s="1" t="s">
        <v>43</v>
      </c>
      <c r="Z49" s="1">
        <v>1</v>
      </c>
      <c r="AA49" s="1" t="s">
        <v>44</v>
      </c>
      <c r="AB49" s="1" t="s">
        <v>36</v>
      </c>
      <c r="AC49" s="1"/>
      <c r="AD49" s="1" t="s">
        <v>37</v>
      </c>
      <c r="AE49" s="1">
        <v>60.147300741681299</v>
      </c>
      <c r="AF49" s="1" t="s">
        <v>45</v>
      </c>
    </row>
    <row r="50" spans="1:32" x14ac:dyDescent="0.35">
      <c r="A50" s="1">
        <v>11</v>
      </c>
      <c r="B50" s="1">
        <v>30</v>
      </c>
      <c r="C50" s="1">
        <v>7</v>
      </c>
      <c r="D50" s="1">
        <v>48</v>
      </c>
      <c r="E50" s="1">
        <v>8</v>
      </c>
      <c r="F50" s="1">
        <v>4</v>
      </c>
      <c r="G50" s="1" t="s">
        <v>39</v>
      </c>
      <c r="H50" s="1">
        <v>1.28563320000102</v>
      </c>
      <c r="I50" s="1" t="s">
        <v>33</v>
      </c>
      <c r="J50" s="1">
        <v>4</v>
      </c>
      <c r="K50" s="1">
        <v>8</v>
      </c>
      <c r="L50" s="1">
        <v>48</v>
      </c>
      <c r="M50" s="1">
        <v>0</v>
      </c>
      <c r="N50" s="1">
        <v>98.865655499997899</v>
      </c>
      <c r="O50" s="1"/>
      <c r="P50" s="1">
        <v>98.8556433999983</v>
      </c>
      <c r="Q50" s="1">
        <v>98.865655499997899</v>
      </c>
      <c r="R50" s="1">
        <v>99.848985599994194</v>
      </c>
      <c r="S50" s="1">
        <v>99.848985599994194</v>
      </c>
      <c r="T50" s="1">
        <v>99.865968299993199</v>
      </c>
      <c r="U50" s="1">
        <v>101.149422499998</v>
      </c>
      <c r="V50" s="1" t="s">
        <v>39</v>
      </c>
      <c r="W50" s="1">
        <v>1.28563320000102</v>
      </c>
      <c r="X50" s="1" t="s">
        <v>33</v>
      </c>
      <c r="Y50" s="1" t="s">
        <v>43</v>
      </c>
      <c r="Z50" s="1">
        <v>1</v>
      </c>
      <c r="AA50" s="1" t="s">
        <v>44</v>
      </c>
      <c r="AB50" s="1" t="s">
        <v>36</v>
      </c>
      <c r="AC50" s="1"/>
      <c r="AD50" s="1" t="s">
        <v>37</v>
      </c>
      <c r="AE50" s="1">
        <v>60.147300741681299</v>
      </c>
      <c r="AF50" s="1" t="s">
        <v>45</v>
      </c>
    </row>
    <row r="51" spans="1:32" x14ac:dyDescent="0.35">
      <c r="A51" s="1">
        <v>27</v>
      </c>
      <c r="B51" s="1">
        <v>50</v>
      </c>
      <c r="C51" s="1">
        <v>21</v>
      </c>
      <c r="D51" s="1">
        <v>49</v>
      </c>
      <c r="E51" s="1">
        <v>9</v>
      </c>
      <c r="F51" s="1">
        <v>4</v>
      </c>
      <c r="G51" s="1" t="s">
        <v>32</v>
      </c>
      <c r="H51" s="1">
        <v>1.46058999999513</v>
      </c>
      <c r="I51" s="1" t="s">
        <v>33</v>
      </c>
      <c r="J51" s="1">
        <v>4</v>
      </c>
      <c r="K51" s="1">
        <v>9</v>
      </c>
      <c r="L51" s="1">
        <v>49</v>
      </c>
      <c r="M51" s="1">
        <v>2</v>
      </c>
      <c r="N51" s="1">
        <v>101.16529829999401</v>
      </c>
      <c r="O51" s="1"/>
      <c r="P51" s="1">
        <v>101.156771899994</v>
      </c>
      <c r="Q51" s="1">
        <v>101.16529829999401</v>
      </c>
      <c r="R51" s="1">
        <v>102.165295799997</v>
      </c>
      <c r="S51" s="1">
        <v>102.165295799997</v>
      </c>
      <c r="T51" s="1">
        <v>102.165295799997</v>
      </c>
      <c r="U51" s="1">
        <v>103.632494199999</v>
      </c>
      <c r="V51" s="1" t="s">
        <v>32</v>
      </c>
      <c r="W51" s="1">
        <v>1.46058999999513</v>
      </c>
      <c r="X51" s="1" t="s">
        <v>33</v>
      </c>
      <c r="Y51" s="1" t="s">
        <v>43</v>
      </c>
      <c r="Z51" s="1">
        <v>1</v>
      </c>
      <c r="AA51" s="1" t="s">
        <v>44</v>
      </c>
      <c r="AB51" s="1" t="s">
        <v>36</v>
      </c>
      <c r="AC51" s="1"/>
      <c r="AD51" s="1" t="s">
        <v>37</v>
      </c>
      <c r="AE51" s="1">
        <v>60.147300741681299</v>
      </c>
      <c r="AF51" s="1" t="s">
        <v>45</v>
      </c>
    </row>
    <row r="52" spans="1:32" x14ac:dyDescent="0.35">
      <c r="A52" s="1">
        <v>110</v>
      </c>
      <c r="B52" s="1">
        <v>135</v>
      </c>
      <c r="C52" s="1">
        <v>270</v>
      </c>
      <c r="D52" s="1">
        <v>50</v>
      </c>
      <c r="E52" s="1">
        <v>0</v>
      </c>
      <c r="F52" s="1">
        <v>5</v>
      </c>
      <c r="G52" s="1" t="s">
        <v>32</v>
      </c>
      <c r="H52" s="1">
        <v>0.36994290000438901</v>
      </c>
      <c r="I52" s="1" t="s">
        <v>33</v>
      </c>
      <c r="J52" s="1">
        <v>5</v>
      </c>
      <c r="K52" s="1">
        <v>0</v>
      </c>
      <c r="L52" s="1">
        <v>50</v>
      </c>
      <c r="M52" s="1">
        <v>9</v>
      </c>
      <c r="N52" s="1">
        <v>103.66487609999599</v>
      </c>
      <c r="O52" s="1"/>
      <c r="P52" s="1">
        <v>103.64322689999899</v>
      </c>
      <c r="Q52" s="1">
        <v>103.66487609999599</v>
      </c>
      <c r="R52" s="1">
        <v>104.647890499996</v>
      </c>
      <c r="S52" s="1">
        <v>104.647890499996</v>
      </c>
      <c r="T52" s="1">
        <v>104.664736399994</v>
      </c>
      <c r="U52" s="1">
        <v>105.03232069999601</v>
      </c>
      <c r="V52" s="1" t="s">
        <v>32</v>
      </c>
      <c r="W52" s="1">
        <v>0.36994290000438901</v>
      </c>
      <c r="X52" s="1" t="s">
        <v>33</v>
      </c>
      <c r="Y52" s="1" t="s">
        <v>43</v>
      </c>
      <c r="Z52" s="1">
        <v>1</v>
      </c>
      <c r="AA52" s="1" t="s">
        <v>44</v>
      </c>
      <c r="AB52" s="1" t="s">
        <v>36</v>
      </c>
      <c r="AC52" s="1"/>
      <c r="AD52" s="1" t="s">
        <v>37</v>
      </c>
      <c r="AE52" s="1">
        <v>60.147300741681299</v>
      </c>
      <c r="AF52" s="1" t="s">
        <v>45</v>
      </c>
    </row>
    <row r="53" spans="1:32" x14ac:dyDescent="0.35">
      <c r="A53" s="1">
        <v>27</v>
      </c>
      <c r="B53" s="1">
        <v>50</v>
      </c>
      <c r="C53" s="1">
        <v>21</v>
      </c>
      <c r="D53" s="1">
        <v>51</v>
      </c>
      <c r="E53" s="1">
        <v>1</v>
      </c>
      <c r="F53" s="1">
        <v>5</v>
      </c>
      <c r="G53" s="1" t="s">
        <v>32</v>
      </c>
      <c r="H53" s="1">
        <v>0.72266439999657395</v>
      </c>
      <c r="I53" s="1" t="s">
        <v>33</v>
      </c>
      <c r="J53" s="1">
        <v>5</v>
      </c>
      <c r="K53" s="1">
        <v>1</v>
      </c>
      <c r="L53" s="1">
        <v>51</v>
      </c>
      <c r="M53" s="1">
        <v>2</v>
      </c>
      <c r="N53" s="1">
        <v>105.04805379999701</v>
      </c>
      <c r="O53" s="1"/>
      <c r="P53" s="1">
        <v>105.040744199999</v>
      </c>
      <c r="Q53" s="1">
        <v>105.04805379999701</v>
      </c>
      <c r="R53" s="1">
        <v>106.047973999993</v>
      </c>
      <c r="S53" s="1">
        <v>106.047973999993</v>
      </c>
      <c r="T53" s="1">
        <v>106.047973999993</v>
      </c>
      <c r="U53" s="1">
        <v>106.78181079999899</v>
      </c>
      <c r="V53" s="1" t="s">
        <v>32</v>
      </c>
      <c r="W53" s="1">
        <v>0.72266439999657395</v>
      </c>
      <c r="X53" s="1" t="s">
        <v>33</v>
      </c>
      <c r="Y53" s="1" t="s">
        <v>43</v>
      </c>
      <c r="Z53" s="1">
        <v>1</v>
      </c>
      <c r="AA53" s="1" t="s">
        <v>44</v>
      </c>
      <c r="AB53" s="1" t="s">
        <v>36</v>
      </c>
      <c r="AC53" s="1"/>
      <c r="AD53" s="1" t="s">
        <v>37</v>
      </c>
      <c r="AE53" s="1">
        <v>60.147300741681299</v>
      </c>
      <c r="AF53" s="1" t="s">
        <v>45</v>
      </c>
    </row>
    <row r="54" spans="1:32" x14ac:dyDescent="0.35">
      <c r="A54" s="1">
        <v>78</v>
      </c>
      <c r="B54" s="1">
        <v>80</v>
      </c>
      <c r="C54" s="1">
        <v>162</v>
      </c>
      <c r="D54" s="1">
        <v>52</v>
      </c>
      <c r="E54" s="1">
        <v>2</v>
      </c>
      <c r="F54" s="1">
        <v>5</v>
      </c>
      <c r="G54" s="1" t="s">
        <v>32</v>
      </c>
      <c r="H54" s="1">
        <v>0.60017320000042595</v>
      </c>
      <c r="I54" s="1" t="s">
        <v>33</v>
      </c>
      <c r="J54" s="1">
        <v>5</v>
      </c>
      <c r="K54" s="1">
        <v>2</v>
      </c>
      <c r="L54" s="1">
        <v>52</v>
      </c>
      <c r="M54" s="1">
        <v>6</v>
      </c>
      <c r="N54" s="1">
        <v>106.797747899996</v>
      </c>
      <c r="O54" s="1"/>
      <c r="P54" s="1">
        <v>106.786675299998</v>
      </c>
      <c r="Q54" s="1">
        <v>106.797747899996</v>
      </c>
      <c r="R54" s="1">
        <v>107.780953399997</v>
      </c>
      <c r="S54" s="1">
        <v>107.780953399997</v>
      </c>
      <c r="T54" s="1">
        <v>107.79765869999299</v>
      </c>
      <c r="U54" s="1">
        <v>108.38178439999299</v>
      </c>
      <c r="V54" s="1" t="s">
        <v>32</v>
      </c>
      <c r="W54" s="1">
        <v>0.60017320000042595</v>
      </c>
      <c r="X54" s="1" t="s">
        <v>33</v>
      </c>
      <c r="Y54" s="1" t="s">
        <v>43</v>
      </c>
      <c r="Z54" s="1">
        <v>1</v>
      </c>
      <c r="AA54" s="1" t="s">
        <v>44</v>
      </c>
      <c r="AB54" s="1" t="s">
        <v>36</v>
      </c>
      <c r="AC54" s="1"/>
      <c r="AD54" s="1" t="s">
        <v>37</v>
      </c>
      <c r="AE54" s="1">
        <v>60.147300741681299</v>
      </c>
      <c r="AF54" s="1" t="s">
        <v>45</v>
      </c>
    </row>
    <row r="55" spans="1:32" x14ac:dyDescent="0.35">
      <c r="A55" s="1">
        <v>40</v>
      </c>
      <c r="B55" s="1">
        <v>55</v>
      </c>
      <c r="C55" s="1">
        <v>62</v>
      </c>
      <c r="D55" s="1">
        <v>53</v>
      </c>
      <c r="E55" s="1">
        <v>3</v>
      </c>
      <c r="F55" s="1">
        <v>5</v>
      </c>
      <c r="G55" s="1" t="s">
        <v>32</v>
      </c>
      <c r="H55" s="1">
        <v>0.67341039999882901</v>
      </c>
      <c r="I55" s="1" t="s">
        <v>33</v>
      </c>
      <c r="J55" s="1">
        <v>5</v>
      </c>
      <c r="K55" s="1">
        <v>3</v>
      </c>
      <c r="L55" s="1">
        <v>53</v>
      </c>
      <c r="M55" s="1">
        <v>3</v>
      </c>
      <c r="N55" s="1">
        <v>108.397339099996</v>
      </c>
      <c r="O55" s="1"/>
      <c r="P55" s="1">
        <v>108.387931299999</v>
      </c>
      <c r="Q55" s="1">
        <v>108.397339099996</v>
      </c>
      <c r="R55" s="1">
        <v>109.39805679999699</v>
      </c>
      <c r="S55" s="1">
        <v>109.39805679999699</v>
      </c>
      <c r="T55" s="1">
        <v>109.39805679999699</v>
      </c>
      <c r="U55" s="1">
        <v>110.081297099997</v>
      </c>
      <c r="V55" s="1" t="s">
        <v>32</v>
      </c>
      <c r="W55" s="1">
        <v>0.67341039999882901</v>
      </c>
      <c r="X55" s="1" t="s">
        <v>33</v>
      </c>
      <c r="Y55" s="1" t="s">
        <v>43</v>
      </c>
      <c r="Z55" s="1">
        <v>1</v>
      </c>
      <c r="AA55" s="1" t="s">
        <v>44</v>
      </c>
      <c r="AB55" s="1" t="s">
        <v>36</v>
      </c>
      <c r="AC55" s="1"/>
      <c r="AD55" s="1" t="s">
        <v>37</v>
      </c>
      <c r="AE55" s="1">
        <v>60.147300741681299</v>
      </c>
      <c r="AF55" s="1" t="s">
        <v>45</v>
      </c>
    </row>
    <row r="56" spans="1:32" x14ac:dyDescent="0.35">
      <c r="A56" s="1">
        <v>49</v>
      </c>
      <c r="B56" s="1">
        <v>60</v>
      </c>
      <c r="C56" s="1">
        <v>89</v>
      </c>
      <c r="D56" s="1">
        <v>54</v>
      </c>
      <c r="E56" s="1">
        <v>4</v>
      </c>
      <c r="F56" s="1">
        <v>5</v>
      </c>
      <c r="G56" s="1" t="s">
        <v>32</v>
      </c>
      <c r="H56" s="1">
        <v>0.88762429999769599</v>
      </c>
      <c r="I56" s="1" t="s">
        <v>33</v>
      </c>
      <c r="J56" s="1">
        <v>5</v>
      </c>
      <c r="K56" s="1">
        <v>4</v>
      </c>
      <c r="L56" s="1">
        <v>54</v>
      </c>
      <c r="M56" s="1">
        <v>4</v>
      </c>
      <c r="N56" s="1">
        <v>110.09724549999299</v>
      </c>
      <c r="O56" s="1"/>
      <c r="P56" s="1">
        <v>110.088259199997</v>
      </c>
      <c r="Q56" s="1">
        <v>110.09724549999299</v>
      </c>
      <c r="R56" s="1">
        <v>111.08056259999999</v>
      </c>
      <c r="S56" s="1">
        <v>111.08056259999999</v>
      </c>
      <c r="T56" s="1">
        <v>111.097132999995</v>
      </c>
      <c r="U56" s="1">
        <v>111.981021999999</v>
      </c>
      <c r="V56" s="1" t="s">
        <v>32</v>
      </c>
      <c r="W56" s="1">
        <v>0.88762429999769599</v>
      </c>
      <c r="X56" s="1" t="s">
        <v>33</v>
      </c>
      <c r="Y56" s="1" t="s">
        <v>43</v>
      </c>
      <c r="Z56" s="1">
        <v>1</v>
      </c>
      <c r="AA56" s="1" t="s">
        <v>44</v>
      </c>
      <c r="AB56" s="1" t="s">
        <v>36</v>
      </c>
      <c r="AC56" s="1"/>
      <c r="AD56" s="1" t="s">
        <v>37</v>
      </c>
      <c r="AE56" s="1">
        <v>60.147300741681299</v>
      </c>
      <c r="AF56" s="1" t="s">
        <v>45</v>
      </c>
    </row>
    <row r="57" spans="1:32" x14ac:dyDescent="0.35">
      <c r="A57" s="1">
        <v>88</v>
      </c>
      <c r="B57" s="1">
        <v>105</v>
      </c>
      <c r="C57" s="1">
        <v>200</v>
      </c>
      <c r="D57" s="1">
        <v>55</v>
      </c>
      <c r="E57" s="1">
        <v>5</v>
      </c>
      <c r="F57" s="1">
        <v>5</v>
      </c>
      <c r="G57" s="1" t="s">
        <v>32</v>
      </c>
      <c r="H57" s="1">
        <v>0.605261799995787</v>
      </c>
      <c r="I57" s="1" t="s">
        <v>33</v>
      </c>
      <c r="J57" s="1">
        <v>5</v>
      </c>
      <c r="K57" s="1">
        <v>5</v>
      </c>
      <c r="L57" s="1">
        <v>55</v>
      </c>
      <c r="M57" s="1">
        <v>7</v>
      </c>
      <c r="N57" s="1">
        <v>112.013645599996</v>
      </c>
      <c r="O57" s="1"/>
      <c r="P57" s="1">
        <v>111.990233399999</v>
      </c>
      <c r="Q57" s="1">
        <v>112.013645599996</v>
      </c>
      <c r="R57" s="1">
        <v>112.980201299993</v>
      </c>
      <c r="S57" s="1">
        <v>112.980201299993</v>
      </c>
      <c r="T57" s="1">
        <v>113.013461199996</v>
      </c>
      <c r="U57" s="1">
        <v>113.597424799998</v>
      </c>
      <c r="V57" s="1" t="s">
        <v>32</v>
      </c>
      <c r="W57" s="1">
        <v>0.605261799995787</v>
      </c>
      <c r="X57" s="1" t="s">
        <v>33</v>
      </c>
      <c r="Y57" s="1" t="s">
        <v>43</v>
      </c>
      <c r="Z57" s="1">
        <v>1</v>
      </c>
      <c r="AA57" s="1" t="s">
        <v>44</v>
      </c>
      <c r="AB57" s="1" t="s">
        <v>36</v>
      </c>
      <c r="AC57" s="1"/>
      <c r="AD57" s="1" t="s">
        <v>37</v>
      </c>
      <c r="AE57" s="1">
        <v>60.147300741681299</v>
      </c>
      <c r="AF57" s="1" t="s">
        <v>45</v>
      </c>
    </row>
    <row r="58" spans="1:32" x14ac:dyDescent="0.35">
      <c r="A58" s="1">
        <v>98</v>
      </c>
      <c r="B58" s="1">
        <v>120</v>
      </c>
      <c r="C58" s="1">
        <v>230</v>
      </c>
      <c r="D58" s="1">
        <v>56</v>
      </c>
      <c r="E58" s="1">
        <v>6</v>
      </c>
      <c r="F58" s="1">
        <v>5</v>
      </c>
      <c r="G58" s="1" t="s">
        <v>32</v>
      </c>
      <c r="H58" s="1">
        <v>0.69000740000046701</v>
      </c>
      <c r="I58" s="1" t="s">
        <v>33</v>
      </c>
      <c r="J58" s="1">
        <v>5</v>
      </c>
      <c r="K58" s="1">
        <v>6</v>
      </c>
      <c r="L58" s="1">
        <v>56</v>
      </c>
      <c r="M58" s="1">
        <v>8</v>
      </c>
      <c r="N58" s="1">
        <v>113.61338889999701</v>
      </c>
      <c r="O58" s="1"/>
      <c r="P58" s="1">
        <v>113.60404849999701</v>
      </c>
      <c r="Q58" s="1">
        <v>113.61338889999701</v>
      </c>
      <c r="R58" s="1">
        <v>114.61315029999901</v>
      </c>
      <c r="S58" s="1">
        <v>114.61315029999901</v>
      </c>
      <c r="T58" s="1">
        <v>114.61315029999901</v>
      </c>
      <c r="U58" s="1">
        <v>115.314440899994</v>
      </c>
      <c r="V58" s="1" t="s">
        <v>32</v>
      </c>
      <c r="W58" s="1">
        <v>0.69000740000046701</v>
      </c>
      <c r="X58" s="1" t="s">
        <v>33</v>
      </c>
      <c r="Y58" s="1" t="s">
        <v>43</v>
      </c>
      <c r="Z58" s="1">
        <v>1</v>
      </c>
      <c r="AA58" s="1" t="s">
        <v>44</v>
      </c>
      <c r="AB58" s="1" t="s">
        <v>36</v>
      </c>
      <c r="AC58" s="1"/>
      <c r="AD58" s="1" t="s">
        <v>37</v>
      </c>
      <c r="AE58" s="1">
        <v>60.147300741681299</v>
      </c>
      <c r="AF58" s="1" t="s">
        <v>45</v>
      </c>
    </row>
    <row r="59" spans="1:32" x14ac:dyDescent="0.35">
      <c r="A59" s="1">
        <v>15</v>
      </c>
      <c r="B59" s="1">
        <v>35</v>
      </c>
      <c r="C59" s="1">
        <v>13</v>
      </c>
      <c r="D59" s="1">
        <v>57</v>
      </c>
      <c r="E59" s="1">
        <v>7</v>
      </c>
      <c r="F59" s="1">
        <v>5</v>
      </c>
      <c r="G59" s="1" t="s">
        <v>39</v>
      </c>
      <c r="H59" s="1">
        <v>2.6651603999998699</v>
      </c>
      <c r="I59" s="1" t="s">
        <v>33</v>
      </c>
      <c r="J59" s="1">
        <v>5</v>
      </c>
      <c r="K59" s="1">
        <v>7</v>
      </c>
      <c r="L59" s="1">
        <v>57</v>
      </c>
      <c r="M59" s="1">
        <v>1</v>
      </c>
      <c r="N59" s="1">
        <v>115.329555999996</v>
      </c>
      <c r="O59" s="1"/>
      <c r="P59" s="1">
        <v>115.32079679999801</v>
      </c>
      <c r="Q59" s="1">
        <v>115.329555999996</v>
      </c>
      <c r="R59" s="1">
        <v>116.330128899993</v>
      </c>
      <c r="S59" s="1">
        <v>116.330128899993</v>
      </c>
      <c r="T59" s="1">
        <v>116.330128899993</v>
      </c>
      <c r="U59" s="1">
        <v>118.996356699994</v>
      </c>
      <c r="V59" s="1" t="s">
        <v>39</v>
      </c>
      <c r="W59" s="1">
        <v>2.6651603999998699</v>
      </c>
      <c r="X59" s="1" t="s">
        <v>33</v>
      </c>
      <c r="Y59" s="1" t="s">
        <v>43</v>
      </c>
      <c r="Z59" s="1">
        <v>1</v>
      </c>
      <c r="AA59" s="1" t="s">
        <v>44</v>
      </c>
      <c r="AB59" s="1" t="s">
        <v>36</v>
      </c>
      <c r="AC59" s="1"/>
      <c r="AD59" s="1" t="s">
        <v>37</v>
      </c>
      <c r="AE59" s="1">
        <v>60.147300741681299</v>
      </c>
      <c r="AF59" s="1" t="s">
        <v>45</v>
      </c>
    </row>
    <row r="60" spans="1:32" x14ac:dyDescent="0.35">
      <c r="A60" s="1">
        <v>11</v>
      </c>
      <c r="B60" s="1">
        <v>30</v>
      </c>
      <c r="C60" s="1">
        <v>7</v>
      </c>
      <c r="D60" s="1">
        <v>58</v>
      </c>
      <c r="E60" s="1">
        <v>8</v>
      </c>
      <c r="F60" s="1">
        <v>5</v>
      </c>
      <c r="G60" s="1" t="s">
        <v>39</v>
      </c>
      <c r="H60" s="1">
        <v>0.55825139999797102</v>
      </c>
      <c r="I60" s="1" t="s">
        <v>33</v>
      </c>
      <c r="J60" s="1">
        <v>5</v>
      </c>
      <c r="K60" s="1">
        <v>8</v>
      </c>
      <c r="L60" s="1">
        <v>58</v>
      </c>
      <c r="M60" s="1">
        <v>0</v>
      </c>
      <c r="N60" s="1">
        <v>119.01244779999899</v>
      </c>
      <c r="O60" s="1"/>
      <c r="P60" s="1">
        <v>119.00139129999999</v>
      </c>
      <c r="Q60" s="1">
        <v>119.01244779999899</v>
      </c>
      <c r="R60" s="1">
        <v>119.99560249999899</v>
      </c>
      <c r="S60" s="1">
        <v>119.99560249999899</v>
      </c>
      <c r="T60" s="1">
        <v>120.012238099996</v>
      </c>
      <c r="U60" s="1">
        <v>120.563055399994</v>
      </c>
      <c r="V60" s="1" t="s">
        <v>39</v>
      </c>
      <c r="W60" s="1">
        <v>0.55825139999797102</v>
      </c>
      <c r="X60" s="1" t="s">
        <v>33</v>
      </c>
      <c r="Y60" s="1" t="s">
        <v>43</v>
      </c>
      <c r="Z60" s="1">
        <v>1</v>
      </c>
      <c r="AA60" s="1" t="s">
        <v>44</v>
      </c>
      <c r="AB60" s="1" t="s">
        <v>36</v>
      </c>
      <c r="AC60" s="1"/>
      <c r="AD60" s="1" t="s">
        <v>37</v>
      </c>
      <c r="AE60" s="1">
        <v>60.147300741681299</v>
      </c>
      <c r="AF60" s="1" t="s">
        <v>45</v>
      </c>
    </row>
    <row r="61" spans="1:32" x14ac:dyDescent="0.35">
      <c r="A61" s="1">
        <v>67</v>
      </c>
      <c r="B61" s="1">
        <v>75</v>
      </c>
      <c r="C61" s="1">
        <v>119</v>
      </c>
      <c r="D61" s="1">
        <v>59</v>
      </c>
      <c r="E61" s="1">
        <v>9</v>
      </c>
      <c r="F61" s="1">
        <v>5</v>
      </c>
      <c r="G61" s="1" t="s">
        <v>32</v>
      </c>
      <c r="H61" s="1">
        <v>0.50831720000132896</v>
      </c>
      <c r="I61" s="1" t="s">
        <v>33</v>
      </c>
      <c r="J61" s="1">
        <v>5</v>
      </c>
      <c r="K61" s="1">
        <v>9</v>
      </c>
      <c r="L61" s="1">
        <v>59</v>
      </c>
      <c r="M61" s="1">
        <v>5</v>
      </c>
      <c r="N61" s="1">
        <v>120.578726899999</v>
      </c>
      <c r="O61" s="1"/>
      <c r="P61" s="1">
        <v>120.570495599997</v>
      </c>
      <c r="Q61" s="1">
        <v>120.578726899999</v>
      </c>
      <c r="R61" s="1">
        <v>121.578750499997</v>
      </c>
      <c r="S61" s="1">
        <v>121.578750499997</v>
      </c>
      <c r="T61" s="1">
        <v>121.578750499997</v>
      </c>
      <c r="U61" s="1">
        <v>122.095854899998</v>
      </c>
      <c r="V61" s="1" t="s">
        <v>32</v>
      </c>
      <c r="W61" s="1">
        <v>0.50831720000132896</v>
      </c>
      <c r="X61" s="1" t="s">
        <v>33</v>
      </c>
      <c r="Y61" s="1" t="s">
        <v>43</v>
      </c>
      <c r="Z61" s="1">
        <v>1</v>
      </c>
      <c r="AA61" s="1" t="s">
        <v>44</v>
      </c>
      <c r="AB61" s="1" t="s">
        <v>36</v>
      </c>
      <c r="AC61" s="1"/>
      <c r="AD61" s="1" t="s">
        <v>37</v>
      </c>
      <c r="AE61" s="1">
        <v>60.147300741681299</v>
      </c>
      <c r="AF61" s="1" t="s">
        <v>45</v>
      </c>
    </row>
    <row r="62" spans="1:32" x14ac:dyDescent="0.35">
      <c r="A62" s="1">
        <v>98</v>
      </c>
      <c r="B62" s="1">
        <v>120</v>
      </c>
      <c r="C62" s="1">
        <v>230</v>
      </c>
      <c r="D62" s="1">
        <v>60</v>
      </c>
      <c r="E62" s="1">
        <v>0</v>
      </c>
      <c r="F62" s="1">
        <v>6</v>
      </c>
      <c r="G62" s="1" t="s">
        <v>32</v>
      </c>
      <c r="H62" s="1">
        <v>0.62893599999369998</v>
      </c>
      <c r="I62" s="1" t="s">
        <v>33</v>
      </c>
      <c r="J62" s="1">
        <v>6</v>
      </c>
      <c r="K62" s="1">
        <v>0</v>
      </c>
      <c r="L62" s="1">
        <v>60</v>
      </c>
      <c r="M62" s="1">
        <v>8</v>
      </c>
      <c r="N62" s="1">
        <v>122.111740999993</v>
      </c>
      <c r="O62" s="1"/>
      <c r="P62" s="1">
        <v>122.101560199997</v>
      </c>
      <c r="Q62" s="1">
        <v>122.111740999993</v>
      </c>
      <c r="R62" s="1">
        <v>123.09503799999899</v>
      </c>
      <c r="S62" s="1">
        <v>123.09503799999899</v>
      </c>
      <c r="T62" s="1">
        <v>123.111707999996</v>
      </c>
      <c r="U62" s="1">
        <v>123.72896719999601</v>
      </c>
      <c r="V62" s="1" t="s">
        <v>32</v>
      </c>
      <c r="W62" s="1">
        <v>0.62893599999369998</v>
      </c>
      <c r="X62" s="1" t="s">
        <v>33</v>
      </c>
      <c r="Y62" s="1" t="s">
        <v>43</v>
      </c>
      <c r="Z62" s="1">
        <v>1</v>
      </c>
      <c r="AA62" s="1" t="s">
        <v>44</v>
      </c>
      <c r="AB62" s="1" t="s">
        <v>36</v>
      </c>
      <c r="AC62" s="1"/>
      <c r="AD62" s="1" t="s">
        <v>37</v>
      </c>
      <c r="AE62" s="1">
        <v>60.147300741681299</v>
      </c>
      <c r="AF62" s="1" t="s">
        <v>45</v>
      </c>
    </row>
    <row r="63" spans="1:32" x14ac:dyDescent="0.35">
      <c r="A63" s="1">
        <v>88</v>
      </c>
      <c r="B63" s="1">
        <v>105</v>
      </c>
      <c r="C63" s="1">
        <v>200</v>
      </c>
      <c r="D63" s="1">
        <v>61</v>
      </c>
      <c r="E63" s="1">
        <v>1</v>
      </c>
      <c r="F63" s="1">
        <v>6</v>
      </c>
      <c r="G63" s="1" t="s">
        <v>32</v>
      </c>
      <c r="H63" s="1">
        <v>0.61204909999651103</v>
      </c>
      <c r="I63" s="1" t="s">
        <v>33</v>
      </c>
      <c r="J63" s="1">
        <v>6</v>
      </c>
      <c r="K63" s="1">
        <v>1</v>
      </c>
      <c r="L63" s="1">
        <v>61</v>
      </c>
      <c r="M63" s="1">
        <v>7</v>
      </c>
      <c r="N63" s="1">
        <v>123.744997199995</v>
      </c>
      <c r="O63" s="1"/>
      <c r="P63" s="1">
        <v>123.73486949999599</v>
      </c>
      <c r="Q63" s="1">
        <v>123.744997199995</v>
      </c>
      <c r="R63" s="1">
        <v>124.72815069999299</v>
      </c>
      <c r="S63" s="1">
        <v>124.72815069999299</v>
      </c>
      <c r="T63" s="1">
        <v>124.744862399995</v>
      </c>
      <c r="U63" s="1">
        <v>125.345713599999</v>
      </c>
      <c r="V63" s="1" t="s">
        <v>32</v>
      </c>
      <c r="W63" s="1">
        <v>0.61204909999651103</v>
      </c>
      <c r="X63" s="1" t="s">
        <v>33</v>
      </c>
      <c r="Y63" s="1" t="s">
        <v>43</v>
      </c>
      <c r="Z63" s="1">
        <v>1</v>
      </c>
      <c r="AA63" s="1" t="s">
        <v>44</v>
      </c>
      <c r="AB63" s="1" t="s">
        <v>36</v>
      </c>
      <c r="AC63" s="1"/>
      <c r="AD63" s="1" t="s">
        <v>37</v>
      </c>
      <c r="AE63" s="1">
        <v>60.147300741681299</v>
      </c>
      <c r="AF63" s="1" t="s">
        <v>45</v>
      </c>
    </row>
    <row r="64" spans="1:32" x14ac:dyDescent="0.35">
      <c r="A64" s="1">
        <v>40</v>
      </c>
      <c r="B64" s="1">
        <v>55</v>
      </c>
      <c r="C64" s="1">
        <v>62</v>
      </c>
      <c r="D64" s="1">
        <v>62</v>
      </c>
      <c r="E64" s="1">
        <v>2</v>
      </c>
      <c r="F64" s="1">
        <v>6</v>
      </c>
      <c r="G64" s="1" t="s">
        <v>32</v>
      </c>
      <c r="H64" s="1">
        <v>1.02022109999961</v>
      </c>
      <c r="I64" s="1" t="s">
        <v>33</v>
      </c>
      <c r="J64" s="1">
        <v>6</v>
      </c>
      <c r="K64" s="1">
        <v>2</v>
      </c>
      <c r="L64" s="1">
        <v>62</v>
      </c>
      <c r="M64" s="1">
        <v>3</v>
      </c>
      <c r="N64" s="1">
        <v>125.362220199996</v>
      </c>
      <c r="O64" s="1"/>
      <c r="P64" s="1">
        <v>125.349965499997</v>
      </c>
      <c r="Q64" s="1">
        <v>125.362220199996</v>
      </c>
      <c r="R64" s="1">
        <v>126.344903299999</v>
      </c>
      <c r="S64" s="1">
        <v>126.344903299999</v>
      </c>
      <c r="T64" s="1">
        <v>126.361927299993</v>
      </c>
      <c r="U64" s="1">
        <v>127.378609399995</v>
      </c>
      <c r="V64" s="1" t="s">
        <v>32</v>
      </c>
      <c r="W64" s="1">
        <v>1.02022109999961</v>
      </c>
      <c r="X64" s="1" t="s">
        <v>33</v>
      </c>
      <c r="Y64" s="1" t="s">
        <v>43</v>
      </c>
      <c r="Z64" s="1">
        <v>1</v>
      </c>
      <c r="AA64" s="1" t="s">
        <v>44</v>
      </c>
      <c r="AB64" s="1" t="s">
        <v>36</v>
      </c>
      <c r="AC64" s="1"/>
      <c r="AD64" s="1" t="s">
        <v>37</v>
      </c>
      <c r="AE64" s="1">
        <v>60.147300741681299</v>
      </c>
      <c r="AF64" s="1" t="s">
        <v>45</v>
      </c>
    </row>
    <row r="65" spans="1:32" x14ac:dyDescent="0.35">
      <c r="A65" s="1">
        <v>110</v>
      </c>
      <c r="B65" s="1">
        <v>135</v>
      </c>
      <c r="C65" s="1">
        <v>270</v>
      </c>
      <c r="D65" s="1">
        <v>63</v>
      </c>
      <c r="E65" s="1">
        <v>3</v>
      </c>
      <c r="F65" s="1">
        <v>6</v>
      </c>
      <c r="G65" s="1" t="s">
        <v>32</v>
      </c>
      <c r="H65" s="1">
        <v>1.2291789000009801</v>
      </c>
      <c r="I65" s="1" t="s">
        <v>33</v>
      </c>
      <c r="J65" s="1">
        <v>6</v>
      </c>
      <c r="K65" s="1">
        <v>3</v>
      </c>
      <c r="L65" s="1">
        <v>63</v>
      </c>
      <c r="M65" s="1">
        <v>9</v>
      </c>
      <c r="N65" s="1">
        <v>127.394516099993</v>
      </c>
      <c r="O65" s="1"/>
      <c r="P65" s="1">
        <v>127.386467699994</v>
      </c>
      <c r="Q65" s="1">
        <v>127.394516099993</v>
      </c>
      <c r="R65" s="1">
        <v>128.377540399997</v>
      </c>
      <c r="S65" s="1">
        <v>128.377540399997</v>
      </c>
      <c r="T65" s="1">
        <v>128.394276399994</v>
      </c>
      <c r="U65" s="1">
        <v>129.611468299997</v>
      </c>
      <c r="V65" s="1" t="s">
        <v>32</v>
      </c>
      <c r="W65" s="1">
        <v>1.2291789000009801</v>
      </c>
      <c r="X65" s="1" t="s">
        <v>33</v>
      </c>
      <c r="Y65" s="1" t="s">
        <v>43</v>
      </c>
      <c r="Z65" s="1">
        <v>1</v>
      </c>
      <c r="AA65" s="1" t="s">
        <v>44</v>
      </c>
      <c r="AB65" s="1" t="s">
        <v>36</v>
      </c>
      <c r="AC65" s="1"/>
      <c r="AD65" s="1" t="s">
        <v>37</v>
      </c>
      <c r="AE65" s="1">
        <v>60.147300741681299</v>
      </c>
      <c r="AF65" s="1" t="s">
        <v>45</v>
      </c>
    </row>
    <row r="66" spans="1:32" x14ac:dyDescent="0.35">
      <c r="A66" s="1">
        <v>15</v>
      </c>
      <c r="B66" s="1">
        <v>35</v>
      </c>
      <c r="C66" s="1">
        <v>13</v>
      </c>
      <c r="D66" s="1">
        <v>64</v>
      </c>
      <c r="E66" s="1">
        <v>4</v>
      </c>
      <c r="F66" s="1">
        <v>6</v>
      </c>
      <c r="G66" s="1" t="s">
        <v>39</v>
      </c>
      <c r="H66" s="1">
        <v>0.77650539999740398</v>
      </c>
      <c r="I66" s="1" t="s">
        <v>33</v>
      </c>
      <c r="J66" s="1">
        <v>6</v>
      </c>
      <c r="K66" s="1">
        <v>4</v>
      </c>
      <c r="L66" s="1">
        <v>64</v>
      </c>
      <c r="M66" s="1">
        <v>1</v>
      </c>
      <c r="N66" s="1">
        <v>129.62732509999401</v>
      </c>
      <c r="O66" s="1"/>
      <c r="P66" s="1">
        <v>129.618296799999</v>
      </c>
      <c r="Q66" s="1">
        <v>129.62732509999401</v>
      </c>
      <c r="R66" s="1">
        <v>130.610579699998</v>
      </c>
      <c r="S66" s="1">
        <v>130.610579699998</v>
      </c>
      <c r="T66" s="1">
        <v>130.627239999994</v>
      </c>
      <c r="U66" s="1">
        <v>131.394378999997</v>
      </c>
      <c r="V66" s="1" t="s">
        <v>39</v>
      </c>
      <c r="W66" s="1">
        <v>0.77650539999740398</v>
      </c>
      <c r="X66" s="1" t="s">
        <v>33</v>
      </c>
      <c r="Y66" s="1" t="s">
        <v>43</v>
      </c>
      <c r="Z66" s="1">
        <v>1</v>
      </c>
      <c r="AA66" s="1" t="s">
        <v>44</v>
      </c>
      <c r="AB66" s="1" t="s">
        <v>36</v>
      </c>
      <c r="AC66" s="1"/>
      <c r="AD66" s="1" t="s">
        <v>37</v>
      </c>
      <c r="AE66" s="1">
        <v>60.147300741681299</v>
      </c>
      <c r="AF66" s="1" t="s">
        <v>45</v>
      </c>
    </row>
    <row r="67" spans="1:32" x14ac:dyDescent="0.35">
      <c r="A67" s="1">
        <v>67</v>
      </c>
      <c r="B67" s="1">
        <v>75</v>
      </c>
      <c r="C67" s="1">
        <v>119</v>
      </c>
      <c r="D67" s="1">
        <v>65</v>
      </c>
      <c r="E67" s="1">
        <v>5</v>
      </c>
      <c r="F67" s="1">
        <v>6</v>
      </c>
      <c r="G67" s="1" t="s">
        <v>32</v>
      </c>
      <c r="H67" s="1">
        <v>0.62753440000233196</v>
      </c>
      <c r="I67" s="1" t="s">
        <v>33</v>
      </c>
      <c r="J67" s="1">
        <v>6</v>
      </c>
      <c r="K67" s="1">
        <v>5</v>
      </c>
      <c r="L67" s="1">
        <v>65</v>
      </c>
      <c r="M67" s="1">
        <v>5</v>
      </c>
      <c r="N67" s="1">
        <v>131.41040959999299</v>
      </c>
      <c r="O67" s="1"/>
      <c r="P67" s="1">
        <v>131.399831599999</v>
      </c>
      <c r="Q67" s="1">
        <v>131.41040959999299</v>
      </c>
      <c r="R67" s="1">
        <v>132.39355239999699</v>
      </c>
      <c r="S67" s="1">
        <v>132.39355239999699</v>
      </c>
      <c r="T67" s="1">
        <v>132.41026569999599</v>
      </c>
      <c r="U67" s="1">
        <v>133.027796899994</v>
      </c>
      <c r="V67" s="1" t="s">
        <v>32</v>
      </c>
      <c r="W67" s="1">
        <v>0.62753440000233196</v>
      </c>
      <c r="X67" s="1" t="s">
        <v>33</v>
      </c>
      <c r="Y67" s="1" t="s">
        <v>43</v>
      </c>
      <c r="Z67" s="1">
        <v>1</v>
      </c>
      <c r="AA67" s="1" t="s">
        <v>44</v>
      </c>
      <c r="AB67" s="1" t="s">
        <v>36</v>
      </c>
      <c r="AC67" s="1"/>
      <c r="AD67" s="1" t="s">
        <v>37</v>
      </c>
      <c r="AE67" s="1">
        <v>60.147300741681299</v>
      </c>
      <c r="AF67" s="1" t="s">
        <v>45</v>
      </c>
    </row>
    <row r="68" spans="1:32" x14ac:dyDescent="0.35">
      <c r="A68" s="1">
        <v>49</v>
      </c>
      <c r="B68" s="1">
        <v>60</v>
      </c>
      <c r="C68" s="1">
        <v>89</v>
      </c>
      <c r="D68" s="1">
        <v>66</v>
      </c>
      <c r="E68" s="1">
        <v>6</v>
      </c>
      <c r="F68" s="1">
        <v>6</v>
      </c>
      <c r="G68" s="1" t="s">
        <v>32</v>
      </c>
      <c r="H68" s="1">
        <v>0.96652339999854997</v>
      </c>
      <c r="I68" s="1" t="s">
        <v>33</v>
      </c>
      <c r="J68" s="1">
        <v>6</v>
      </c>
      <c r="K68" s="1">
        <v>6</v>
      </c>
      <c r="L68" s="1">
        <v>66</v>
      </c>
      <c r="M68" s="1">
        <v>4</v>
      </c>
      <c r="N68" s="1">
        <v>133.04395629999601</v>
      </c>
      <c r="O68" s="1"/>
      <c r="P68" s="1">
        <v>133.03345569999499</v>
      </c>
      <c r="Q68" s="1">
        <v>133.04395629999601</v>
      </c>
      <c r="R68" s="1">
        <v>134.04365939999801</v>
      </c>
      <c r="S68" s="1">
        <v>134.04365939999801</v>
      </c>
      <c r="T68" s="1">
        <v>134.04365939999801</v>
      </c>
      <c r="U68" s="1">
        <v>135.01087579999799</v>
      </c>
      <c r="V68" s="1" t="s">
        <v>32</v>
      </c>
      <c r="W68" s="1">
        <v>0.96652339999854997</v>
      </c>
      <c r="X68" s="1" t="s">
        <v>33</v>
      </c>
      <c r="Y68" s="1" t="s">
        <v>43</v>
      </c>
      <c r="Z68" s="1">
        <v>1</v>
      </c>
      <c r="AA68" s="1" t="s">
        <v>44</v>
      </c>
      <c r="AB68" s="1" t="s">
        <v>36</v>
      </c>
      <c r="AC68" s="1"/>
      <c r="AD68" s="1" t="s">
        <v>37</v>
      </c>
      <c r="AE68" s="1">
        <v>60.147300741681299</v>
      </c>
      <c r="AF68" s="1" t="s">
        <v>45</v>
      </c>
    </row>
    <row r="69" spans="1:32" x14ac:dyDescent="0.35">
      <c r="A69" s="1">
        <v>11</v>
      </c>
      <c r="B69" s="1">
        <v>30</v>
      </c>
      <c r="C69" s="1">
        <v>7</v>
      </c>
      <c r="D69" s="1">
        <v>67</v>
      </c>
      <c r="E69" s="1">
        <v>7</v>
      </c>
      <c r="F69" s="1">
        <v>6</v>
      </c>
      <c r="G69" s="1" t="s">
        <v>39</v>
      </c>
      <c r="H69" s="1">
        <v>3.03658379999978</v>
      </c>
      <c r="I69" s="1" t="s">
        <v>33</v>
      </c>
      <c r="J69" s="1">
        <v>6</v>
      </c>
      <c r="K69" s="1">
        <v>7</v>
      </c>
      <c r="L69" s="1">
        <v>67</v>
      </c>
      <c r="M69" s="1">
        <v>0</v>
      </c>
      <c r="N69" s="1">
        <v>135.02632059999399</v>
      </c>
      <c r="O69" s="1"/>
      <c r="P69" s="1">
        <v>135.01686499999701</v>
      </c>
      <c r="Q69" s="1">
        <v>135.02632059999399</v>
      </c>
      <c r="R69" s="1">
        <v>136.010342699999</v>
      </c>
      <c r="S69" s="1">
        <v>136.010342699999</v>
      </c>
      <c r="T69" s="1">
        <v>136.02717059999799</v>
      </c>
      <c r="U69" s="1">
        <v>139.060353599998</v>
      </c>
      <c r="V69" s="1" t="s">
        <v>39</v>
      </c>
      <c r="W69" s="1">
        <v>3.03658379999978</v>
      </c>
      <c r="X69" s="1" t="s">
        <v>33</v>
      </c>
      <c r="Y69" s="1" t="s">
        <v>43</v>
      </c>
      <c r="Z69" s="1">
        <v>1</v>
      </c>
      <c r="AA69" s="1" t="s">
        <v>44</v>
      </c>
      <c r="AB69" s="1" t="s">
        <v>36</v>
      </c>
      <c r="AC69" s="1"/>
      <c r="AD69" s="1" t="s">
        <v>37</v>
      </c>
      <c r="AE69" s="1">
        <v>60.147300741681299</v>
      </c>
      <c r="AF69" s="1" t="s">
        <v>45</v>
      </c>
    </row>
    <row r="70" spans="1:32" x14ac:dyDescent="0.35">
      <c r="A70" s="1">
        <v>78</v>
      </c>
      <c r="B70" s="1">
        <v>80</v>
      </c>
      <c r="C70" s="1">
        <v>162</v>
      </c>
      <c r="D70" s="1">
        <v>68</v>
      </c>
      <c r="E70" s="1">
        <v>8</v>
      </c>
      <c r="F70" s="1">
        <v>6</v>
      </c>
      <c r="G70" s="1" t="s">
        <v>32</v>
      </c>
      <c r="H70" s="1">
        <v>1.9980733999982401</v>
      </c>
      <c r="I70" s="1" t="s">
        <v>33</v>
      </c>
      <c r="J70" s="1">
        <v>6</v>
      </c>
      <c r="K70" s="1">
        <v>8</v>
      </c>
      <c r="L70" s="1">
        <v>68</v>
      </c>
      <c r="M70" s="1">
        <v>6</v>
      </c>
      <c r="N70" s="1">
        <v>139.075630299994</v>
      </c>
      <c r="O70" s="1"/>
      <c r="P70" s="1">
        <v>139.06619959999799</v>
      </c>
      <c r="Q70" s="1">
        <v>139.075630299994</v>
      </c>
      <c r="R70" s="1">
        <v>140.07606739999699</v>
      </c>
      <c r="S70" s="1">
        <v>140.07606739999699</v>
      </c>
      <c r="T70" s="1">
        <v>140.07606739999699</v>
      </c>
      <c r="U70" s="1">
        <v>142.075942199997</v>
      </c>
      <c r="V70" s="1" t="s">
        <v>32</v>
      </c>
      <c r="W70" s="1">
        <v>1.9980733999982401</v>
      </c>
      <c r="X70" s="1" t="s">
        <v>33</v>
      </c>
      <c r="Y70" s="1" t="s">
        <v>43</v>
      </c>
      <c r="Z70" s="1">
        <v>1</v>
      </c>
      <c r="AA70" s="1" t="s">
        <v>44</v>
      </c>
      <c r="AB70" s="1" t="s">
        <v>36</v>
      </c>
      <c r="AC70" s="1"/>
      <c r="AD70" s="1" t="s">
        <v>37</v>
      </c>
      <c r="AE70" s="1">
        <v>60.147300741681299</v>
      </c>
      <c r="AF70" s="1" t="s">
        <v>45</v>
      </c>
    </row>
    <row r="71" spans="1:32" x14ac:dyDescent="0.35">
      <c r="A71" s="1">
        <v>27</v>
      </c>
      <c r="B71" s="1">
        <v>50</v>
      </c>
      <c r="C71" s="1">
        <v>21</v>
      </c>
      <c r="D71" s="1">
        <v>69</v>
      </c>
      <c r="E71" s="1">
        <v>9</v>
      </c>
      <c r="F71" s="1">
        <v>6</v>
      </c>
      <c r="G71" s="1" t="s">
        <v>32</v>
      </c>
      <c r="H71" s="1">
        <v>0.96232239999517299</v>
      </c>
      <c r="I71" s="1" t="s">
        <v>33</v>
      </c>
      <c r="J71" s="1">
        <v>6</v>
      </c>
      <c r="K71" s="1">
        <v>9</v>
      </c>
      <c r="L71" s="1">
        <v>69</v>
      </c>
      <c r="M71" s="1">
        <v>2</v>
      </c>
      <c r="N71" s="1">
        <v>142.09189749999399</v>
      </c>
      <c r="O71" s="1"/>
      <c r="P71" s="1">
        <v>142.08252719999999</v>
      </c>
      <c r="Q71" s="1">
        <v>142.09189749999399</v>
      </c>
      <c r="R71" s="1">
        <v>143.075025599995</v>
      </c>
      <c r="S71" s="1">
        <v>143.075025599995</v>
      </c>
      <c r="T71" s="1">
        <v>143.09174139999899</v>
      </c>
      <c r="U71" s="1">
        <v>144.042650099996</v>
      </c>
      <c r="V71" s="1" t="s">
        <v>32</v>
      </c>
      <c r="W71" s="1">
        <v>0.96232239999517299</v>
      </c>
      <c r="X71" s="1" t="s">
        <v>33</v>
      </c>
      <c r="Y71" s="1" t="s">
        <v>43</v>
      </c>
      <c r="Z71" s="1">
        <v>1</v>
      </c>
      <c r="AA71" s="1" t="s">
        <v>44</v>
      </c>
      <c r="AB71" s="1" t="s">
        <v>36</v>
      </c>
      <c r="AC71" s="1"/>
      <c r="AD71" s="1" t="s">
        <v>37</v>
      </c>
      <c r="AE71" s="1">
        <v>60.147300741681299</v>
      </c>
      <c r="AF71" s="1" t="s">
        <v>45</v>
      </c>
    </row>
    <row r="72" spans="1:32" x14ac:dyDescent="0.35">
      <c r="A72" s="1">
        <v>110</v>
      </c>
      <c r="B72" s="1">
        <v>135</v>
      </c>
      <c r="C72" s="1">
        <v>270</v>
      </c>
      <c r="D72" s="1">
        <v>70</v>
      </c>
      <c r="E72" s="1">
        <v>0</v>
      </c>
      <c r="F72" s="1">
        <v>7</v>
      </c>
      <c r="G72" s="1" t="s">
        <v>32</v>
      </c>
      <c r="H72" s="1">
        <v>0.68746559999999501</v>
      </c>
      <c r="I72" s="1" t="s">
        <v>33</v>
      </c>
      <c r="J72" s="1">
        <v>7</v>
      </c>
      <c r="K72" s="1">
        <v>0</v>
      </c>
      <c r="L72" s="1">
        <v>70</v>
      </c>
      <c r="M72" s="1">
        <v>9</v>
      </c>
      <c r="N72" s="1">
        <v>144.058168199997</v>
      </c>
      <c r="O72" s="1"/>
      <c r="P72" s="1">
        <v>144.049432599997</v>
      </c>
      <c r="Q72" s="1">
        <v>144.058168199997</v>
      </c>
      <c r="R72" s="1">
        <v>145.041840899997</v>
      </c>
      <c r="S72" s="1">
        <v>145.041840899997</v>
      </c>
      <c r="T72" s="1">
        <v>145.05857239999699</v>
      </c>
      <c r="U72" s="1">
        <v>145.742006399996</v>
      </c>
      <c r="V72" s="1" t="s">
        <v>32</v>
      </c>
      <c r="W72" s="1">
        <v>0.68746559999999501</v>
      </c>
      <c r="X72" s="1" t="s">
        <v>33</v>
      </c>
      <c r="Y72" s="1" t="s">
        <v>43</v>
      </c>
      <c r="Z72" s="1">
        <v>1</v>
      </c>
      <c r="AA72" s="1" t="s">
        <v>44</v>
      </c>
      <c r="AB72" s="1" t="s">
        <v>36</v>
      </c>
      <c r="AC72" s="1"/>
      <c r="AD72" s="1" t="s">
        <v>37</v>
      </c>
      <c r="AE72" s="1">
        <v>60.147300741681299</v>
      </c>
      <c r="AF72" s="1" t="s">
        <v>45</v>
      </c>
    </row>
    <row r="73" spans="1:32" x14ac:dyDescent="0.35">
      <c r="A73" s="1">
        <v>49</v>
      </c>
      <c r="B73" s="1">
        <v>60</v>
      </c>
      <c r="C73" s="1">
        <v>89</v>
      </c>
      <c r="D73" s="1">
        <v>71</v>
      </c>
      <c r="E73" s="1">
        <v>1</v>
      </c>
      <c r="F73" s="1">
        <v>7</v>
      </c>
      <c r="G73" s="1" t="s">
        <v>32</v>
      </c>
      <c r="H73" s="1">
        <v>0.70209990000148503</v>
      </c>
      <c r="I73" s="1" t="s">
        <v>33</v>
      </c>
      <c r="J73" s="1">
        <v>7</v>
      </c>
      <c r="K73" s="1">
        <v>1</v>
      </c>
      <c r="L73" s="1">
        <v>71</v>
      </c>
      <c r="M73" s="1">
        <v>4</v>
      </c>
      <c r="N73" s="1">
        <v>145.75803469999599</v>
      </c>
      <c r="O73" s="1"/>
      <c r="P73" s="1">
        <v>145.747375499995</v>
      </c>
      <c r="Q73" s="1">
        <v>145.75803469999599</v>
      </c>
      <c r="R73" s="1">
        <v>146.741294799998</v>
      </c>
      <c r="S73" s="1">
        <v>146.741294799998</v>
      </c>
      <c r="T73" s="1">
        <v>146.75771069999601</v>
      </c>
      <c r="U73" s="1">
        <v>147.45869489999299</v>
      </c>
      <c r="V73" s="1" t="s">
        <v>32</v>
      </c>
      <c r="W73" s="1">
        <v>0.70209990000148503</v>
      </c>
      <c r="X73" s="1" t="s">
        <v>33</v>
      </c>
      <c r="Y73" s="1" t="s">
        <v>43</v>
      </c>
      <c r="Z73" s="1">
        <v>1</v>
      </c>
      <c r="AA73" s="1" t="s">
        <v>44</v>
      </c>
      <c r="AB73" s="1" t="s">
        <v>36</v>
      </c>
      <c r="AC73" s="1"/>
      <c r="AD73" s="1" t="s">
        <v>37</v>
      </c>
      <c r="AE73" s="1">
        <v>60.147300741681299</v>
      </c>
      <c r="AF73" s="1" t="s">
        <v>45</v>
      </c>
    </row>
    <row r="74" spans="1:32" x14ac:dyDescent="0.35">
      <c r="A74" s="1">
        <v>67</v>
      </c>
      <c r="B74" s="1">
        <v>75</v>
      </c>
      <c r="C74" s="1">
        <v>119</v>
      </c>
      <c r="D74" s="1">
        <v>72</v>
      </c>
      <c r="E74" s="1">
        <v>2</v>
      </c>
      <c r="F74" s="1">
        <v>7</v>
      </c>
      <c r="G74" s="1" t="s">
        <v>32</v>
      </c>
      <c r="H74" s="1">
        <v>0.89158019999740601</v>
      </c>
      <c r="I74" s="1" t="s">
        <v>33</v>
      </c>
      <c r="J74" s="1">
        <v>7</v>
      </c>
      <c r="K74" s="1">
        <v>2</v>
      </c>
      <c r="L74" s="1">
        <v>72</v>
      </c>
      <c r="M74" s="1">
        <v>5</v>
      </c>
      <c r="N74" s="1">
        <v>147.49101299999799</v>
      </c>
      <c r="O74" s="1"/>
      <c r="P74" s="1">
        <v>147.466885199995</v>
      </c>
      <c r="Q74" s="1">
        <v>147.49101299999799</v>
      </c>
      <c r="R74" s="1">
        <v>148.4744718</v>
      </c>
      <c r="S74" s="1">
        <v>148.4744718</v>
      </c>
      <c r="T74" s="1">
        <v>148.490823699998</v>
      </c>
      <c r="U74" s="1">
        <v>149.37477859999399</v>
      </c>
      <c r="V74" s="1" t="s">
        <v>32</v>
      </c>
      <c r="W74" s="1">
        <v>0.89158019999740601</v>
      </c>
      <c r="X74" s="1" t="s">
        <v>33</v>
      </c>
      <c r="Y74" s="1" t="s">
        <v>43</v>
      </c>
      <c r="Z74" s="1">
        <v>1</v>
      </c>
      <c r="AA74" s="1" t="s">
        <v>44</v>
      </c>
      <c r="AB74" s="1" t="s">
        <v>36</v>
      </c>
      <c r="AC74" s="1"/>
      <c r="AD74" s="1" t="s">
        <v>37</v>
      </c>
      <c r="AE74" s="1">
        <v>60.147300741681299</v>
      </c>
      <c r="AF74" s="1" t="s">
        <v>45</v>
      </c>
    </row>
    <row r="75" spans="1:32" x14ac:dyDescent="0.35">
      <c r="A75" s="1">
        <v>88</v>
      </c>
      <c r="B75" s="1">
        <v>105</v>
      </c>
      <c r="C75" s="1">
        <v>200</v>
      </c>
      <c r="D75" s="1">
        <v>73</v>
      </c>
      <c r="E75" s="1">
        <v>3</v>
      </c>
      <c r="F75" s="1">
        <v>7</v>
      </c>
      <c r="G75" s="1" t="s">
        <v>32</v>
      </c>
      <c r="H75" s="1">
        <v>0.55070999999588799</v>
      </c>
      <c r="I75" s="1" t="s">
        <v>33</v>
      </c>
      <c r="J75" s="1">
        <v>7</v>
      </c>
      <c r="K75" s="1">
        <v>3</v>
      </c>
      <c r="L75" s="1">
        <v>73</v>
      </c>
      <c r="M75" s="1">
        <v>7</v>
      </c>
      <c r="N75" s="1">
        <v>149.39077029999299</v>
      </c>
      <c r="O75" s="1"/>
      <c r="P75" s="1">
        <v>149.380410599995</v>
      </c>
      <c r="Q75" s="1">
        <v>149.39077029999299</v>
      </c>
      <c r="R75" s="1">
        <v>150.373998999995</v>
      </c>
      <c r="S75" s="1">
        <v>150.373998999995</v>
      </c>
      <c r="T75" s="1">
        <v>150.39060899999399</v>
      </c>
      <c r="U75" s="1">
        <v>150.94121939999599</v>
      </c>
      <c r="V75" s="1" t="s">
        <v>32</v>
      </c>
      <c r="W75" s="1">
        <v>0.55070999999588799</v>
      </c>
      <c r="X75" s="1" t="s">
        <v>33</v>
      </c>
      <c r="Y75" s="1" t="s">
        <v>43</v>
      </c>
      <c r="Z75" s="1">
        <v>1</v>
      </c>
      <c r="AA75" s="1" t="s">
        <v>44</v>
      </c>
      <c r="AB75" s="1" t="s">
        <v>36</v>
      </c>
      <c r="AC75" s="1"/>
      <c r="AD75" s="1" t="s">
        <v>37</v>
      </c>
      <c r="AE75" s="1">
        <v>60.147300741681299</v>
      </c>
      <c r="AF75" s="1" t="s">
        <v>45</v>
      </c>
    </row>
    <row r="76" spans="1:32" x14ac:dyDescent="0.35">
      <c r="A76" s="1">
        <v>98</v>
      </c>
      <c r="B76" s="1">
        <v>120</v>
      </c>
      <c r="C76" s="1">
        <v>230</v>
      </c>
      <c r="D76" s="1">
        <v>74</v>
      </c>
      <c r="E76" s="1">
        <v>4</v>
      </c>
      <c r="F76" s="1">
        <v>7</v>
      </c>
      <c r="G76" s="1" t="s">
        <v>32</v>
      </c>
      <c r="H76" s="1">
        <v>0.63872179999452705</v>
      </c>
      <c r="I76" s="1" t="s">
        <v>33</v>
      </c>
      <c r="J76" s="1">
        <v>7</v>
      </c>
      <c r="K76" s="1">
        <v>4</v>
      </c>
      <c r="L76" s="1">
        <v>74</v>
      </c>
      <c r="M76" s="1">
        <v>8</v>
      </c>
      <c r="N76" s="1">
        <v>150.95710689999299</v>
      </c>
      <c r="O76" s="1"/>
      <c r="P76" s="1">
        <v>150.94733679999601</v>
      </c>
      <c r="Q76" s="1">
        <v>150.95710689999299</v>
      </c>
      <c r="R76" s="1">
        <v>151.94105389999399</v>
      </c>
      <c r="S76" s="1">
        <v>151.94105389999399</v>
      </c>
      <c r="T76" s="1">
        <v>151.95772079999699</v>
      </c>
      <c r="U76" s="1">
        <v>152.59121869999899</v>
      </c>
      <c r="V76" s="1" t="s">
        <v>32</v>
      </c>
      <c r="W76" s="1">
        <v>0.63872179999452705</v>
      </c>
      <c r="X76" s="1" t="s">
        <v>33</v>
      </c>
      <c r="Y76" s="1" t="s">
        <v>43</v>
      </c>
      <c r="Z76" s="1">
        <v>1</v>
      </c>
      <c r="AA76" s="1" t="s">
        <v>44</v>
      </c>
      <c r="AB76" s="1" t="s">
        <v>36</v>
      </c>
      <c r="AC76" s="1"/>
      <c r="AD76" s="1" t="s">
        <v>37</v>
      </c>
      <c r="AE76" s="1">
        <v>60.147300741681299</v>
      </c>
      <c r="AF76" s="1" t="s">
        <v>45</v>
      </c>
    </row>
    <row r="77" spans="1:32" x14ac:dyDescent="0.35">
      <c r="A77" s="1">
        <v>15</v>
      </c>
      <c r="B77" s="1">
        <v>35</v>
      </c>
      <c r="C77" s="1">
        <v>13</v>
      </c>
      <c r="D77" s="1">
        <v>75</v>
      </c>
      <c r="E77" s="1">
        <v>5</v>
      </c>
      <c r="F77" s="1">
        <v>7</v>
      </c>
      <c r="G77" s="1" t="s">
        <v>39</v>
      </c>
      <c r="H77" s="1">
        <v>1.39322460000403</v>
      </c>
      <c r="I77" s="1" t="s">
        <v>33</v>
      </c>
      <c r="J77" s="1">
        <v>7</v>
      </c>
      <c r="K77" s="1">
        <v>5</v>
      </c>
      <c r="L77" s="1">
        <v>75</v>
      </c>
      <c r="M77" s="1">
        <v>1</v>
      </c>
      <c r="N77" s="1">
        <v>152.60686899999499</v>
      </c>
      <c r="O77" s="1"/>
      <c r="P77" s="1">
        <v>152.597327699993</v>
      </c>
      <c r="Q77" s="1">
        <v>152.60686899999499</v>
      </c>
      <c r="R77" s="1">
        <v>153.60704509999701</v>
      </c>
      <c r="S77" s="1">
        <v>153.60704509999701</v>
      </c>
      <c r="T77" s="1">
        <v>153.60704509999701</v>
      </c>
      <c r="U77" s="1">
        <v>155.00715159999501</v>
      </c>
      <c r="V77" s="1" t="s">
        <v>39</v>
      </c>
      <c r="W77" s="1">
        <v>1.39322460000403</v>
      </c>
      <c r="X77" s="1" t="s">
        <v>33</v>
      </c>
      <c r="Y77" s="1" t="s">
        <v>43</v>
      </c>
      <c r="Z77" s="1">
        <v>1</v>
      </c>
      <c r="AA77" s="1" t="s">
        <v>44</v>
      </c>
      <c r="AB77" s="1" t="s">
        <v>36</v>
      </c>
      <c r="AC77" s="1"/>
      <c r="AD77" s="1" t="s">
        <v>37</v>
      </c>
      <c r="AE77" s="1">
        <v>60.147300741681299</v>
      </c>
      <c r="AF77" s="1" t="s">
        <v>45</v>
      </c>
    </row>
    <row r="78" spans="1:32" x14ac:dyDescent="0.35">
      <c r="A78" s="1">
        <v>40</v>
      </c>
      <c r="B78" s="1">
        <v>55</v>
      </c>
      <c r="C78" s="1">
        <v>62</v>
      </c>
      <c r="D78" s="1">
        <v>76</v>
      </c>
      <c r="E78" s="1">
        <v>6</v>
      </c>
      <c r="F78" s="1">
        <v>7</v>
      </c>
      <c r="G78" s="1" t="s">
        <v>32</v>
      </c>
      <c r="H78" s="1">
        <v>0.59616679999453404</v>
      </c>
      <c r="I78" s="1" t="s">
        <v>33</v>
      </c>
      <c r="J78" s="1">
        <v>7</v>
      </c>
      <c r="K78" s="1">
        <v>6</v>
      </c>
      <c r="L78" s="1">
        <v>76</v>
      </c>
      <c r="M78" s="1">
        <v>3</v>
      </c>
      <c r="N78" s="1">
        <v>155.02352919999899</v>
      </c>
      <c r="O78" s="1"/>
      <c r="P78" s="1">
        <v>155.012906399999</v>
      </c>
      <c r="Q78" s="1">
        <v>155.02352919999899</v>
      </c>
      <c r="R78" s="1">
        <v>156.006711199996</v>
      </c>
      <c r="S78" s="1">
        <v>156.006711199996</v>
      </c>
      <c r="T78" s="1">
        <v>156.02336689999299</v>
      </c>
      <c r="U78" s="1">
        <v>156.60689789999699</v>
      </c>
      <c r="V78" s="1" t="s">
        <v>32</v>
      </c>
      <c r="W78" s="1">
        <v>0.59616679999453404</v>
      </c>
      <c r="X78" s="1" t="s">
        <v>33</v>
      </c>
      <c r="Y78" s="1" t="s">
        <v>43</v>
      </c>
      <c r="Z78" s="1">
        <v>1</v>
      </c>
      <c r="AA78" s="1" t="s">
        <v>44</v>
      </c>
      <c r="AB78" s="1" t="s">
        <v>36</v>
      </c>
      <c r="AC78" s="1"/>
      <c r="AD78" s="1" t="s">
        <v>37</v>
      </c>
      <c r="AE78" s="1">
        <v>60.147300741681299</v>
      </c>
      <c r="AF78" s="1" t="s">
        <v>45</v>
      </c>
    </row>
    <row r="79" spans="1:32" x14ac:dyDescent="0.35">
      <c r="A79" s="1">
        <v>27</v>
      </c>
      <c r="B79" s="1">
        <v>50</v>
      </c>
      <c r="C79" s="1">
        <v>21</v>
      </c>
      <c r="D79" s="1">
        <v>77</v>
      </c>
      <c r="E79" s="1">
        <v>7</v>
      </c>
      <c r="F79" s="1">
        <v>7</v>
      </c>
      <c r="G79" s="1" t="s">
        <v>32</v>
      </c>
      <c r="H79" s="1">
        <v>0.78002209999976901</v>
      </c>
      <c r="I79" s="1" t="s">
        <v>33</v>
      </c>
      <c r="J79" s="1">
        <v>7</v>
      </c>
      <c r="K79" s="1">
        <v>7</v>
      </c>
      <c r="L79" s="1">
        <v>77</v>
      </c>
      <c r="M79" s="1">
        <v>2</v>
      </c>
      <c r="N79" s="1">
        <v>156.62296289999301</v>
      </c>
      <c r="O79" s="1"/>
      <c r="P79" s="1">
        <v>156.61199479999701</v>
      </c>
      <c r="Q79" s="1">
        <v>156.62296289999301</v>
      </c>
      <c r="R79" s="1">
        <v>157.606060299993</v>
      </c>
      <c r="S79" s="1">
        <v>157.606060299993</v>
      </c>
      <c r="T79" s="1">
        <v>157.62277679999499</v>
      </c>
      <c r="U79" s="1">
        <v>158.390453799998</v>
      </c>
      <c r="V79" s="1" t="s">
        <v>32</v>
      </c>
      <c r="W79" s="1">
        <v>0.78002209999976901</v>
      </c>
      <c r="X79" s="1" t="s">
        <v>33</v>
      </c>
      <c r="Y79" s="1" t="s">
        <v>43</v>
      </c>
      <c r="Z79" s="1">
        <v>1</v>
      </c>
      <c r="AA79" s="1" t="s">
        <v>44</v>
      </c>
      <c r="AB79" s="1" t="s">
        <v>36</v>
      </c>
      <c r="AC79" s="1"/>
      <c r="AD79" s="1" t="s">
        <v>37</v>
      </c>
      <c r="AE79" s="1">
        <v>60.147300741681299</v>
      </c>
      <c r="AF79" s="1" t="s">
        <v>45</v>
      </c>
    </row>
    <row r="80" spans="1:32" x14ac:dyDescent="0.35">
      <c r="A80" s="1">
        <v>11</v>
      </c>
      <c r="B80" s="1">
        <v>30</v>
      </c>
      <c r="C80" s="1">
        <v>7</v>
      </c>
      <c r="D80" s="1">
        <v>78</v>
      </c>
      <c r="E80" s="1">
        <v>8</v>
      </c>
      <c r="F80" s="1">
        <v>7</v>
      </c>
      <c r="G80" s="1" t="s">
        <v>39</v>
      </c>
      <c r="H80" s="1">
        <v>2.40846760000567</v>
      </c>
      <c r="I80" s="1" t="s">
        <v>33</v>
      </c>
      <c r="J80" s="1">
        <v>7</v>
      </c>
      <c r="K80" s="1">
        <v>8</v>
      </c>
      <c r="L80" s="1">
        <v>78</v>
      </c>
      <c r="M80" s="1">
        <v>0</v>
      </c>
      <c r="N80" s="1">
        <v>158.405951299995</v>
      </c>
      <c r="O80" s="1"/>
      <c r="P80" s="1">
        <v>158.3965962</v>
      </c>
      <c r="Q80" s="1">
        <v>158.405951299995</v>
      </c>
      <c r="R80" s="1">
        <v>159.40589199999499</v>
      </c>
      <c r="S80" s="1">
        <v>159.40589199999499</v>
      </c>
      <c r="T80" s="1">
        <v>159.40589199999499</v>
      </c>
      <c r="U80" s="1">
        <v>161.82272679999701</v>
      </c>
      <c r="V80" s="1" t="s">
        <v>39</v>
      </c>
      <c r="W80" s="1">
        <v>2.40846760000567</v>
      </c>
      <c r="X80" s="1" t="s">
        <v>33</v>
      </c>
      <c r="Y80" s="1" t="s">
        <v>43</v>
      </c>
      <c r="Z80" s="1">
        <v>1</v>
      </c>
      <c r="AA80" s="1" t="s">
        <v>44</v>
      </c>
      <c r="AB80" s="1" t="s">
        <v>36</v>
      </c>
      <c r="AC80" s="1"/>
      <c r="AD80" s="1" t="s">
        <v>37</v>
      </c>
      <c r="AE80" s="1">
        <v>60.147300741681299</v>
      </c>
      <c r="AF80" s="1" t="s">
        <v>45</v>
      </c>
    </row>
    <row r="81" spans="1:32" x14ac:dyDescent="0.35">
      <c r="A81" s="1">
        <v>78</v>
      </c>
      <c r="B81" s="1">
        <v>80</v>
      </c>
      <c r="C81" s="1">
        <v>162</v>
      </c>
      <c r="D81" s="1">
        <v>79</v>
      </c>
      <c r="E81" s="1">
        <v>9</v>
      </c>
      <c r="F81" s="1">
        <v>7</v>
      </c>
      <c r="G81" s="1" t="s">
        <v>32</v>
      </c>
      <c r="H81" s="1">
        <v>0.55749289999948803</v>
      </c>
      <c r="I81" s="1" t="s">
        <v>33</v>
      </c>
      <c r="J81" s="1">
        <v>7</v>
      </c>
      <c r="K81" s="1">
        <v>9</v>
      </c>
      <c r="L81" s="1">
        <v>79</v>
      </c>
      <c r="M81" s="1">
        <v>6</v>
      </c>
      <c r="N81" s="1">
        <v>161.838580299998</v>
      </c>
      <c r="O81" s="1"/>
      <c r="P81" s="1">
        <v>161.828002599999</v>
      </c>
      <c r="Q81" s="1">
        <v>161.838580299998</v>
      </c>
      <c r="R81" s="1">
        <v>162.821958999993</v>
      </c>
      <c r="S81" s="1">
        <v>162.821958999993</v>
      </c>
      <c r="T81" s="1">
        <v>162.838620199996</v>
      </c>
      <c r="U81" s="1">
        <v>163.38912809999599</v>
      </c>
      <c r="V81" s="1" t="s">
        <v>32</v>
      </c>
      <c r="W81" s="1">
        <v>0.55749289999948803</v>
      </c>
      <c r="X81" s="1" t="s">
        <v>33</v>
      </c>
      <c r="Y81" s="1" t="s">
        <v>43</v>
      </c>
      <c r="Z81" s="1">
        <v>1</v>
      </c>
      <c r="AA81" s="1" t="s">
        <v>44</v>
      </c>
      <c r="AB81" s="1" t="s">
        <v>36</v>
      </c>
      <c r="AC81" s="1"/>
      <c r="AD81" s="1" t="s">
        <v>37</v>
      </c>
      <c r="AE81" s="1">
        <v>60.147300741681299</v>
      </c>
      <c r="AF81" s="1" t="s">
        <v>45</v>
      </c>
    </row>
    <row r="82" spans="1:32" x14ac:dyDescent="0.35">
      <c r="A82" s="1">
        <v>98</v>
      </c>
      <c r="B82" s="1">
        <v>120</v>
      </c>
      <c r="C82" s="1">
        <v>230</v>
      </c>
      <c r="D82" s="1">
        <v>80</v>
      </c>
      <c r="E82" s="1">
        <v>0</v>
      </c>
      <c r="F82" s="1">
        <v>8</v>
      </c>
      <c r="G82" s="1" t="s">
        <v>32</v>
      </c>
      <c r="H82" s="1">
        <v>1.5712551000033199</v>
      </c>
      <c r="I82" s="1" t="s">
        <v>33</v>
      </c>
      <c r="J82" s="1">
        <v>8</v>
      </c>
      <c r="K82" s="1">
        <v>0</v>
      </c>
      <c r="L82" s="1">
        <v>80</v>
      </c>
      <c r="M82" s="1">
        <v>8</v>
      </c>
      <c r="N82" s="1">
        <v>163.405252499993</v>
      </c>
      <c r="O82" s="1"/>
      <c r="P82" s="1">
        <v>163.39467519999701</v>
      </c>
      <c r="Q82" s="1">
        <v>163.405252499993</v>
      </c>
      <c r="R82" s="1">
        <v>164.388329299996</v>
      </c>
      <c r="S82" s="1">
        <v>164.388329299996</v>
      </c>
      <c r="T82" s="1">
        <v>164.40496619999601</v>
      </c>
      <c r="U82" s="1">
        <v>165.97275139999601</v>
      </c>
      <c r="V82" s="1" t="s">
        <v>32</v>
      </c>
      <c r="W82" s="1">
        <v>1.5712551000033199</v>
      </c>
      <c r="X82" s="1" t="s">
        <v>33</v>
      </c>
      <c r="Y82" s="1" t="s">
        <v>43</v>
      </c>
      <c r="Z82" s="1">
        <v>1</v>
      </c>
      <c r="AA82" s="1" t="s">
        <v>44</v>
      </c>
      <c r="AB82" s="1" t="s">
        <v>36</v>
      </c>
      <c r="AC82" s="1"/>
      <c r="AD82" s="1" t="s">
        <v>37</v>
      </c>
      <c r="AE82" s="1">
        <v>60.147300741681299</v>
      </c>
      <c r="AF82" s="1" t="s">
        <v>45</v>
      </c>
    </row>
    <row r="83" spans="1:32" x14ac:dyDescent="0.35">
      <c r="A83" s="1">
        <v>40</v>
      </c>
      <c r="B83" s="1">
        <v>55</v>
      </c>
      <c r="C83" s="1">
        <v>62</v>
      </c>
      <c r="D83" s="1">
        <v>81</v>
      </c>
      <c r="E83" s="1">
        <v>1</v>
      </c>
      <c r="F83" s="1">
        <v>8</v>
      </c>
      <c r="G83" s="1" t="s">
        <v>32</v>
      </c>
      <c r="H83" s="1">
        <v>0.61087090000364697</v>
      </c>
      <c r="I83" s="1" t="s">
        <v>33</v>
      </c>
      <c r="J83" s="1">
        <v>8</v>
      </c>
      <c r="K83" s="1">
        <v>1</v>
      </c>
      <c r="L83" s="1">
        <v>81</v>
      </c>
      <c r="M83" s="1">
        <v>3</v>
      </c>
      <c r="N83" s="1">
        <v>165.98876069999801</v>
      </c>
      <c r="O83" s="1"/>
      <c r="P83" s="1">
        <v>165.97758169999699</v>
      </c>
      <c r="Q83" s="1">
        <v>165.98876069999801</v>
      </c>
      <c r="R83" s="1">
        <v>166.988282499994</v>
      </c>
      <c r="S83" s="1">
        <v>166.988282499994</v>
      </c>
      <c r="T83" s="1">
        <v>166.988282499994</v>
      </c>
      <c r="U83" s="1">
        <v>167.605244799997</v>
      </c>
      <c r="V83" s="1" t="s">
        <v>32</v>
      </c>
      <c r="W83" s="1">
        <v>0.61087090000364697</v>
      </c>
      <c r="X83" s="1" t="s">
        <v>33</v>
      </c>
      <c r="Y83" s="1" t="s">
        <v>43</v>
      </c>
      <c r="Z83" s="1">
        <v>1</v>
      </c>
      <c r="AA83" s="1" t="s">
        <v>44</v>
      </c>
      <c r="AB83" s="1" t="s">
        <v>36</v>
      </c>
      <c r="AC83" s="1"/>
      <c r="AD83" s="1" t="s">
        <v>37</v>
      </c>
      <c r="AE83" s="1">
        <v>60.147300741681299</v>
      </c>
      <c r="AF83" s="1" t="s">
        <v>45</v>
      </c>
    </row>
    <row r="84" spans="1:32" x14ac:dyDescent="0.35">
      <c r="A84" s="1">
        <v>11</v>
      </c>
      <c r="B84" s="1">
        <v>30</v>
      </c>
      <c r="C84" s="1">
        <v>7</v>
      </c>
      <c r="D84" s="1">
        <v>82</v>
      </c>
      <c r="E84" s="1">
        <v>2</v>
      </c>
      <c r="F84" s="1">
        <v>8</v>
      </c>
      <c r="G84" s="1" t="s">
        <v>39</v>
      </c>
      <c r="H84" s="1">
        <v>1.1372558000002699</v>
      </c>
      <c r="I84" s="1" t="s">
        <v>33</v>
      </c>
      <c r="J84" s="1">
        <v>8</v>
      </c>
      <c r="K84" s="1">
        <v>2</v>
      </c>
      <c r="L84" s="1">
        <v>82</v>
      </c>
      <c r="M84" s="1">
        <v>0</v>
      </c>
      <c r="N84" s="1">
        <v>167.62130400000001</v>
      </c>
      <c r="O84" s="1"/>
      <c r="P84" s="1">
        <v>167.61112119999501</v>
      </c>
      <c r="Q84" s="1">
        <v>167.62130400000001</v>
      </c>
      <c r="R84" s="1">
        <v>168.60439619999599</v>
      </c>
      <c r="S84" s="1">
        <v>168.60439619999599</v>
      </c>
      <c r="T84" s="1">
        <v>168.62098439999599</v>
      </c>
      <c r="U84" s="1">
        <v>169.75479939999701</v>
      </c>
      <c r="V84" s="1" t="s">
        <v>39</v>
      </c>
      <c r="W84" s="1">
        <v>1.1372558000002699</v>
      </c>
      <c r="X84" s="1" t="s">
        <v>33</v>
      </c>
      <c r="Y84" s="1" t="s">
        <v>43</v>
      </c>
      <c r="Z84" s="1">
        <v>1</v>
      </c>
      <c r="AA84" s="1" t="s">
        <v>44</v>
      </c>
      <c r="AB84" s="1" t="s">
        <v>36</v>
      </c>
      <c r="AC84" s="1"/>
      <c r="AD84" s="1" t="s">
        <v>37</v>
      </c>
      <c r="AE84" s="1">
        <v>60.147300741681299</v>
      </c>
      <c r="AF84" s="1" t="s">
        <v>45</v>
      </c>
    </row>
    <row r="85" spans="1:32" x14ac:dyDescent="0.35">
      <c r="A85" s="1">
        <v>110</v>
      </c>
      <c r="B85" s="1">
        <v>135</v>
      </c>
      <c r="C85" s="1">
        <v>270</v>
      </c>
      <c r="D85" s="1">
        <v>83</v>
      </c>
      <c r="E85" s="1">
        <v>3</v>
      </c>
      <c r="F85" s="1">
        <v>8</v>
      </c>
      <c r="G85" s="1" t="s">
        <v>32</v>
      </c>
      <c r="H85" s="1">
        <v>1.14126319999923</v>
      </c>
      <c r="I85" s="1" t="s">
        <v>33</v>
      </c>
      <c r="J85" s="1">
        <v>8</v>
      </c>
      <c r="K85" s="1">
        <v>3</v>
      </c>
      <c r="L85" s="1">
        <v>83</v>
      </c>
      <c r="M85" s="1">
        <v>9</v>
      </c>
      <c r="N85" s="1">
        <v>169.77060459999399</v>
      </c>
      <c r="O85" s="1"/>
      <c r="P85" s="1">
        <v>169.762967999995</v>
      </c>
      <c r="Q85" s="1">
        <v>169.77060459999399</v>
      </c>
      <c r="R85" s="1">
        <v>170.75409889999699</v>
      </c>
      <c r="S85" s="1">
        <v>170.75409889999699</v>
      </c>
      <c r="T85" s="1">
        <v>170.77060549999399</v>
      </c>
      <c r="U85" s="1">
        <v>171.90424279999499</v>
      </c>
      <c r="V85" s="1" t="s">
        <v>32</v>
      </c>
      <c r="W85" s="1">
        <v>1.14126319999923</v>
      </c>
      <c r="X85" s="1" t="s">
        <v>33</v>
      </c>
      <c r="Y85" s="1" t="s">
        <v>43</v>
      </c>
      <c r="Z85" s="1">
        <v>1</v>
      </c>
      <c r="AA85" s="1" t="s">
        <v>44</v>
      </c>
      <c r="AB85" s="1" t="s">
        <v>36</v>
      </c>
      <c r="AC85" s="1"/>
      <c r="AD85" s="1" t="s">
        <v>37</v>
      </c>
      <c r="AE85" s="1">
        <v>60.147300741681299</v>
      </c>
      <c r="AF85" s="1" t="s">
        <v>45</v>
      </c>
    </row>
    <row r="86" spans="1:32" x14ac:dyDescent="0.35">
      <c r="A86" s="1">
        <v>78</v>
      </c>
      <c r="B86" s="1">
        <v>80</v>
      </c>
      <c r="C86" s="1">
        <v>162</v>
      </c>
      <c r="D86" s="1">
        <v>84</v>
      </c>
      <c r="E86" s="1">
        <v>4</v>
      </c>
      <c r="F86" s="1">
        <v>8</v>
      </c>
      <c r="G86" s="1" t="s">
        <v>32</v>
      </c>
      <c r="H86" s="1">
        <v>0.61196639999980096</v>
      </c>
      <c r="I86" s="1" t="s">
        <v>33</v>
      </c>
      <c r="J86" s="1">
        <v>8</v>
      </c>
      <c r="K86" s="1">
        <v>4</v>
      </c>
      <c r="L86" s="1">
        <v>84</v>
      </c>
      <c r="M86" s="1">
        <v>6</v>
      </c>
      <c r="N86" s="1">
        <v>171.921112099997</v>
      </c>
      <c r="O86" s="1"/>
      <c r="P86" s="1">
        <v>171.908493199996</v>
      </c>
      <c r="Q86" s="1">
        <v>171.921112099997</v>
      </c>
      <c r="R86" s="1">
        <v>172.903426799995</v>
      </c>
      <c r="S86" s="1">
        <v>172.903426799995</v>
      </c>
      <c r="T86" s="1">
        <v>172.93761699999499</v>
      </c>
      <c r="U86" s="1">
        <v>173.520932899999</v>
      </c>
      <c r="V86" s="1" t="s">
        <v>32</v>
      </c>
      <c r="W86" s="1">
        <v>0.61196639999980096</v>
      </c>
      <c r="X86" s="1" t="s">
        <v>33</v>
      </c>
      <c r="Y86" s="1" t="s">
        <v>43</v>
      </c>
      <c r="Z86" s="1">
        <v>1</v>
      </c>
      <c r="AA86" s="1" t="s">
        <v>44</v>
      </c>
      <c r="AB86" s="1" t="s">
        <v>36</v>
      </c>
      <c r="AC86" s="1"/>
      <c r="AD86" s="1" t="s">
        <v>37</v>
      </c>
      <c r="AE86" s="1">
        <v>60.147300741681299</v>
      </c>
      <c r="AF86" s="1" t="s">
        <v>45</v>
      </c>
    </row>
    <row r="87" spans="1:32" x14ac:dyDescent="0.35">
      <c r="A87" s="1">
        <v>27</v>
      </c>
      <c r="B87" s="1">
        <v>50</v>
      </c>
      <c r="C87" s="1">
        <v>21</v>
      </c>
      <c r="D87" s="1">
        <v>85</v>
      </c>
      <c r="E87" s="1">
        <v>5</v>
      </c>
      <c r="F87" s="1">
        <v>8</v>
      </c>
      <c r="G87" s="1" t="s">
        <v>32</v>
      </c>
      <c r="H87" s="1">
        <v>0.46759869999368597</v>
      </c>
      <c r="I87" s="1" t="s">
        <v>33</v>
      </c>
      <c r="J87" s="1">
        <v>8</v>
      </c>
      <c r="K87" s="1">
        <v>5</v>
      </c>
      <c r="L87" s="1">
        <v>85</v>
      </c>
      <c r="M87" s="1">
        <v>2</v>
      </c>
      <c r="N87" s="1">
        <v>173.536698599993</v>
      </c>
      <c r="O87" s="1"/>
      <c r="P87" s="1">
        <v>173.52803069999899</v>
      </c>
      <c r="Q87" s="1">
        <v>173.536698599993</v>
      </c>
      <c r="R87" s="1">
        <v>174.536699599993</v>
      </c>
      <c r="S87" s="1">
        <v>174.536699599993</v>
      </c>
      <c r="T87" s="1">
        <v>174.536699599993</v>
      </c>
      <c r="U87" s="1">
        <v>175.0206225</v>
      </c>
      <c r="V87" s="1" t="s">
        <v>32</v>
      </c>
      <c r="W87" s="1">
        <v>0.46759869999368597</v>
      </c>
      <c r="X87" s="1" t="s">
        <v>33</v>
      </c>
      <c r="Y87" s="1" t="s">
        <v>43</v>
      </c>
      <c r="Z87" s="1">
        <v>1</v>
      </c>
      <c r="AA87" s="1" t="s">
        <v>44</v>
      </c>
      <c r="AB87" s="1" t="s">
        <v>36</v>
      </c>
      <c r="AC87" s="1"/>
      <c r="AD87" s="1" t="s">
        <v>37</v>
      </c>
      <c r="AE87" s="1">
        <v>60.147300741681299</v>
      </c>
      <c r="AF87" s="1" t="s">
        <v>45</v>
      </c>
    </row>
    <row r="88" spans="1:32" x14ac:dyDescent="0.35">
      <c r="A88" s="1">
        <v>15</v>
      </c>
      <c r="B88" s="1">
        <v>35</v>
      </c>
      <c r="C88" s="1">
        <v>13</v>
      </c>
      <c r="D88" s="1">
        <v>86</v>
      </c>
      <c r="E88" s="1">
        <v>6</v>
      </c>
      <c r="F88" s="1">
        <v>8</v>
      </c>
      <c r="G88" s="1" t="s">
        <v>39</v>
      </c>
      <c r="H88" s="1">
        <v>0.65570519999891896</v>
      </c>
      <c r="I88" s="1" t="s">
        <v>33</v>
      </c>
      <c r="J88" s="1">
        <v>8</v>
      </c>
      <c r="K88" s="1">
        <v>6</v>
      </c>
      <c r="L88" s="1">
        <v>86</v>
      </c>
      <c r="M88" s="1">
        <v>1</v>
      </c>
      <c r="N88" s="1">
        <v>175.036421999997</v>
      </c>
      <c r="O88" s="1"/>
      <c r="P88" s="1">
        <v>175.02621599999799</v>
      </c>
      <c r="Q88" s="1">
        <v>175.036421999997</v>
      </c>
      <c r="R88" s="1">
        <v>176.020455499994</v>
      </c>
      <c r="S88" s="1">
        <v>176.020455499994</v>
      </c>
      <c r="T88" s="1">
        <v>176.03731719999601</v>
      </c>
      <c r="U88" s="1">
        <v>176.68698859999799</v>
      </c>
      <c r="V88" s="1" t="s">
        <v>39</v>
      </c>
      <c r="W88" s="1">
        <v>0.65570519999891896</v>
      </c>
      <c r="X88" s="1" t="s">
        <v>33</v>
      </c>
      <c r="Y88" s="1" t="s">
        <v>43</v>
      </c>
      <c r="Z88" s="1">
        <v>1</v>
      </c>
      <c r="AA88" s="1" t="s">
        <v>44</v>
      </c>
      <c r="AB88" s="1" t="s">
        <v>36</v>
      </c>
      <c r="AC88" s="1"/>
      <c r="AD88" s="1" t="s">
        <v>37</v>
      </c>
      <c r="AE88" s="1">
        <v>60.147300741681299</v>
      </c>
      <c r="AF88" s="1" t="s">
        <v>45</v>
      </c>
    </row>
    <row r="89" spans="1:32" x14ac:dyDescent="0.35">
      <c r="A89" s="1">
        <v>49</v>
      </c>
      <c r="B89" s="1">
        <v>60</v>
      </c>
      <c r="C89" s="1">
        <v>89</v>
      </c>
      <c r="D89" s="1">
        <v>87</v>
      </c>
      <c r="E89" s="1">
        <v>7</v>
      </c>
      <c r="F89" s="1">
        <v>8</v>
      </c>
      <c r="G89" s="1" t="s">
        <v>32</v>
      </c>
      <c r="H89" s="1">
        <v>0.44747449999704197</v>
      </c>
      <c r="I89" s="1" t="s">
        <v>33</v>
      </c>
      <c r="J89" s="1">
        <v>8</v>
      </c>
      <c r="K89" s="1">
        <v>7</v>
      </c>
      <c r="L89" s="1">
        <v>87</v>
      </c>
      <c r="M89" s="1">
        <v>4</v>
      </c>
      <c r="N89" s="1">
        <v>176.70308179999799</v>
      </c>
      <c r="O89" s="1"/>
      <c r="P89" s="1">
        <v>176.69402799999801</v>
      </c>
      <c r="Q89" s="1">
        <v>176.70308179999799</v>
      </c>
      <c r="R89" s="1">
        <v>177.68606169999799</v>
      </c>
      <c r="S89" s="1">
        <v>177.68606169999799</v>
      </c>
      <c r="T89" s="1">
        <v>177.702841799997</v>
      </c>
      <c r="U89" s="1">
        <v>178.13697589999299</v>
      </c>
      <c r="V89" s="1" t="s">
        <v>32</v>
      </c>
      <c r="W89" s="1">
        <v>0.44747449999704197</v>
      </c>
      <c r="X89" s="1" t="s">
        <v>33</v>
      </c>
      <c r="Y89" s="1" t="s">
        <v>43</v>
      </c>
      <c r="Z89" s="1">
        <v>1</v>
      </c>
      <c r="AA89" s="1" t="s">
        <v>44</v>
      </c>
      <c r="AB89" s="1" t="s">
        <v>36</v>
      </c>
      <c r="AC89" s="1"/>
      <c r="AD89" s="1" t="s">
        <v>37</v>
      </c>
      <c r="AE89" s="1">
        <v>60.147300741681299</v>
      </c>
      <c r="AF89" s="1" t="s">
        <v>45</v>
      </c>
    </row>
    <row r="90" spans="1:32" x14ac:dyDescent="0.35">
      <c r="A90" s="1">
        <v>88</v>
      </c>
      <c r="B90" s="1">
        <v>105</v>
      </c>
      <c r="C90" s="1">
        <v>200</v>
      </c>
      <c r="D90" s="1">
        <v>88</v>
      </c>
      <c r="E90" s="1">
        <v>8</v>
      </c>
      <c r="F90" s="1">
        <v>8</v>
      </c>
      <c r="G90" s="1" t="s">
        <v>32</v>
      </c>
      <c r="H90" s="1">
        <v>0.58253170000534704</v>
      </c>
      <c r="I90" s="1" t="s">
        <v>33</v>
      </c>
      <c r="J90" s="1">
        <v>8</v>
      </c>
      <c r="K90" s="1">
        <v>8</v>
      </c>
      <c r="L90" s="1">
        <v>88</v>
      </c>
      <c r="M90" s="1">
        <v>7</v>
      </c>
      <c r="N90" s="1">
        <v>178.169679799997</v>
      </c>
      <c r="O90" s="1"/>
      <c r="P90" s="1">
        <v>178.147014399997</v>
      </c>
      <c r="Q90" s="1">
        <v>178.169679799997</v>
      </c>
      <c r="R90" s="1">
        <v>179.15261579999699</v>
      </c>
      <c r="S90" s="1">
        <v>179.15261579999699</v>
      </c>
      <c r="T90" s="1">
        <v>179.169246699995</v>
      </c>
      <c r="U90" s="1">
        <v>179.73650059999599</v>
      </c>
      <c r="V90" s="1" t="s">
        <v>32</v>
      </c>
      <c r="W90" s="1">
        <v>0.58253170000534704</v>
      </c>
      <c r="X90" s="1" t="s">
        <v>33</v>
      </c>
      <c r="Y90" s="1" t="s">
        <v>43</v>
      </c>
      <c r="Z90" s="1">
        <v>1</v>
      </c>
      <c r="AA90" s="1" t="s">
        <v>44</v>
      </c>
      <c r="AB90" s="1" t="s">
        <v>36</v>
      </c>
      <c r="AC90" s="1"/>
      <c r="AD90" s="1" t="s">
        <v>37</v>
      </c>
      <c r="AE90" s="1">
        <v>60.147300741681299</v>
      </c>
      <c r="AF90" s="1" t="s">
        <v>45</v>
      </c>
    </row>
    <row r="91" spans="1:32" x14ac:dyDescent="0.35">
      <c r="A91" s="1">
        <v>67</v>
      </c>
      <c r="B91" s="1">
        <v>75</v>
      </c>
      <c r="C91" s="1">
        <v>119</v>
      </c>
      <c r="D91" s="1">
        <v>89</v>
      </c>
      <c r="E91" s="1">
        <v>9</v>
      </c>
      <c r="F91" s="1">
        <v>8</v>
      </c>
      <c r="G91" s="1" t="s">
        <v>32</v>
      </c>
      <c r="H91" s="1">
        <v>0.67485239999950797</v>
      </c>
      <c r="I91" s="1" t="s">
        <v>33</v>
      </c>
      <c r="J91" s="1">
        <v>8</v>
      </c>
      <c r="K91" s="1">
        <v>9</v>
      </c>
      <c r="L91" s="1">
        <v>89</v>
      </c>
      <c r="M91" s="1">
        <v>5</v>
      </c>
      <c r="N91" s="1">
        <v>179.752504099997</v>
      </c>
      <c r="O91" s="1"/>
      <c r="P91" s="1">
        <v>179.74344469999701</v>
      </c>
      <c r="Q91" s="1">
        <v>179.752504099997</v>
      </c>
      <c r="R91" s="1">
        <v>180.73558749999901</v>
      </c>
      <c r="S91" s="1">
        <v>180.73558749999901</v>
      </c>
      <c r="T91" s="1">
        <v>180.7521433</v>
      </c>
      <c r="U91" s="1">
        <v>181.41944839999601</v>
      </c>
      <c r="V91" s="1" t="s">
        <v>32</v>
      </c>
      <c r="W91" s="1">
        <v>0.67485239999950797</v>
      </c>
      <c r="X91" s="1" t="s">
        <v>33</v>
      </c>
      <c r="Y91" s="1" t="s">
        <v>43</v>
      </c>
      <c r="Z91" s="1">
        <v>1</v>
      </c>
      <c r="AA91" s="1" t="s">
        <v>44</v>
      </c>
      <c r="AB91" s="1" t="s">
        <v>36</v>
      </c>
      <c r="AC91" s="1"/>
      <c r="AD91" s="1" t="s">
        <v>37</v>
      </c>
      <c r="AE91" s="1">
        <v>60.147300741681299</v>
      </c>
      <c r="AF91" s="1" t="s">
        <v>45</v>
      </c>
    </row>
    <row r="92" spans="1:32" x14ac:dyDescent="0.35">
      <c r="A92" s="1">
        <v>27</v>
      </c>
      <c r="B92" s="1">
        <v>50</v>
      </c>
      <c r="C92" s="1">
        <v>21</v>
      </c>
      <c r="D92" s="1">
        <v>90</v>
      </c>
      <c r="E92" s="1">
        <v>0</v>
      </c>
      <c r="F92" s="1">
        <v>9</v>
      </c>
      <c r="G92" s="1" t="s">
        <v>32</v>
      </c>
      <c r="H92" s="1">
        <v>0.74935310000000699</v>
      </c>
      <c r="I92" s="1" t="s">
        <v>33</v>
      </c>
      <c r="J92" s="1">
        <v>9</v>
      </c>
      <c r="K92" s="1">
        <v>0</v>
      </c>
      <c r="L92" s="1">
        <v>90</v>
      </c>
      <c r="M92" s="1">
        <v>2</v>
      </c>
      <c r="N92" s="1">
        <v>181.43564679999599</v>
      </c>
      <c r="O92" s="1"/>
      <c r="P92" s="1">
        <v>181.42508959999299</v>
      </c>
      <c r="Q92" s="1">
        <v>181.43564679999599</v>
      </c>
      <c r="R92" s="1">
        <v>182.41880639999701</v>
      </c>
      <c r="S92" s="1">
        <v>182.41880639999701</v>
      </c>
      <c r="T92" s="1">
        <v>182.435322899997</v>
      </c>
      <c r="U92" s="1">
        <v>183.169079799998</v>
      </c>
      <c r="V92" s="1" t="s">
        <v>32</v>
      </c>
      <c r="W92" s="1">
        <v>0.74935310000000699</v>
      </c>
      <c r="X92" s="1" t="s">
        <v>33</v>
      </c>
      <c r="Y92" s="1" t="s">
        <v>43</v>
      </c>
      <c r="Z92" s="1">
        <v>1</v>
      </c>
      <c r="AA92" s="1" t="s">
        <v>44</v>
      </c>
      <c r="AB92" s="1" t="s">
        <v>36</v>
      </c>
      <c r="AC92" s="1"/>
      <c r="AD92" s="1" t="s">
        <v>37</v>
      </c>
      <c r="AE92" s="1">
        <v>60.147300741681299</v>
      </c>
      <c r="AF92" s="1" t="s">
        <v>45</v>
      </c>
    </row>
    <row r="93" spans="1:32" x14ac:dyDescent="0.35">
      <c r="A93" s="1">
        <v>40</v>
      </c>
      <c r="B93" s="1">
        <v>55</v>
      </c>
      <c r="C93" s="1">
        <v>62</v>
      </c>
      <c r="D93" s="1">
        <v>91</v>
      </c>
      <c r="E93" s="1">
        <v>1</v>
      </c>
      <c r="F93" s="1">
        <v>9</v>
      </c>
      <c r="G93" s="1" t="s">
        <v>32</v>
      </c>
      <c r="H93" s="1">
        <v>2.6437307000014698</v>
      </c>
      <c r="I93" s="1" t="s">
        <v>33</v>
      </c>
      <c r="J93" s="1">
        <v>9</v>
      </c>
      <c r="K93" s="1">
        <v>1</v>
      </c>
      <c r="L93" s="1">
        <v>91</v>
      </c>
      <c r="M93" s="1">
        <v>3</v>
      </c>
      <c r="N93" s="1">
        <v>183.184992199996</v>
      </c>
      <c r="O93" s="1"/>
      <c r="P93" s="1">
        <v>183.17562599999599</v>
      </c>
      <c r="Q93" s="1">
        <v>183.184992199996</v>
      </c>
      <c r="R93" s="1">
        <v>184.168396099994</v>
      </c>
      <c r="S93" s="1">
        <v>184.168396099994</v>
      </c>
      <c r="T93" s="1">
        <v>184.18509069999701</v>
      </c>
      <c r="U93" s="1">
        <v>186.81889539999901</v>
      </c>
      <c r="V93" s="1" t="s">
        <v>32</v>
      </c>
      <c r="W93" s="1">
        <v>2.6437307000014698</v>
      </c>
      <c r="X93" s="1" t="s">
        <v>33</v>
      </c>
      <c r="Y93" s="1" t="s">
        <v>43</v>
      </c>
      <c r="Z93" s="1">
        <v>1</v>
      </c>
      <c r="AA93" s="1" t="s">
        <v>44</v>
      </c>
      <c r="AB93" s="1" t="s">
        <v>36</v>
      </c>
      <c r="AC93" s="1"/>
      <c r="AD93" s="1" t="s">
        <v>37</v>
      </c>
      <c r="AE93" s="1">
        <v>60.147300741681299</v>
      </c>
      <c r="AF93" s="1" t="s">
        <v>45</v>
      </c>
    </row>
    <row r="94" spans="1:32" x14ac:dyDescent="0.35">
      <c r="A94" s="1">
        <v>98</v>
      </c>
      <c r="B94" s="1">
        <v>120</v>
      </c>
      <c r="C94" s="1">
        <v>230</v>
      </c>
      <c r="D94" s="1">
        <v>92</v>
      </c>
      <c r="E94" s="1">
        <v>2</v>
      </c>
      <c r="F94" s="1">
        <v>9</v>
      </c>
      <c r="G94" s="1" t="s">
        <v>32</v>
      </c>
      <c r="H94" s="1">
        <v>0.77786219999688899</v>
      </c>
      <c r="I94" s="1" t="s">
        <v>33</v>
      </c>
      <c r="J94" s="1">
        <v>9</v>
      </c>
      <c r="K94" s="1">
        <v>2</v>
      </c>
      <c r="L94" s="1">
        <v>92</v>
      </c>
      <c r="M94" s="1">
        <v>8</v>
      </c>
      <c r="N94" s="1">
        <v>186.834397699996</v>
      </c>
      <c r="O94" s="1"/>
      <c r="P94" s="1">
        <v>186.827115299995</v>
      </c>
      <c r="Q94" s="1">
        <v>186.834397699996</v>
      </c>
      <c r="R94" s="1">
        <v>187.83433149999399</v>
      </c>
      <c r="S94" s="1">
        <v>187.83433149999399</v>
      </c>
      <c r="T94" s="1">
        <v>187.83433149999399</v>
      </c>
      <c r="U94" s="1">
        <v>188.618403399996</v>
      </c>
      <c r="V94" s="1" t="s">
        <v>32</v>
      </c>
      <c r="W94" s="1">
        <v>0.77786219999688899</v>
      </c>
      <c r="X94" s="1" t="s">
        <v>33</v>
      </c>
      <c r="Y94" s="1" t="s">
        <v>43</v>
      </c>
      <c r="Z94" s="1">
        <v>1</v>
      </c>
      <c r="AA94" s="1" t="s">
        <v>44</v>
      </c>
      <c r="AB94" s="1" t="s">
        <v>36</v>
      </c>
      <c r="AC94" s="1"/>
      <c r="AD94" s="1" t="s">
        <v>37</v>
      </c>
      <c r="AE94" s="1">
        <v>60.147300741681299</v>
      </c>
      <c r="AF94" s="1" t="s">
        <v>45</v>
      </c>
    </row>
    <row r="95" spans="1:32" x14ac:dyDescent="0.35">
      <c r="A95" s="1">
        <v>110</v>
      </c>
      <c r="B95" s="1">
        <v>135</v>
      </c>
      <c r="C95" s="1">
        <v>270</v>
      </c>
      <c r="D95" s="1">
        <v>93</v>
      </c>
      <c r="E95" s="1">
        <v>3</v>
      </c>
      <c r="F95" s="1">
        <v>9</v>
      </c>
      <c r="G95" s="1" t="s">
        <v>32</v>
      </c>
      <c r="H95" s="1">
        <v>1.0490799999970399</v>
      </c>
      <c r="I95" s="1" t="s">
        <v>33</v>
      </c>
      <c r="J95" s="1">
        <v>9</v>
      </c>
      <c r="K95" s="1">
        <v>3</v>
      </c>
      <c r="L95" s="1">
        <v>93</v>
      </c>
      <c r="M95" s="1">
        <v>9</v>
      </c>
      <c r="N95" s="1">
        <v>188.634354999994</v>
      </c>
      <c r="O95" s="1"/>
      <c r="P95" s="1">
        <v>188.62561769999499</v>
      </c>
      <c r="Q95" s="1">
        <v>188.634354999994</v>
      </c>
      <c r="R95" s="1">
        <v>189.617503999994</v>
      </c>
      <c r="S95" s="1">
        <v>189.617503999994</v>
      </c>
      <c r="T95" s="1">
        <v>189.63419109999799</v>
      </c>
      <c r="U95" s="1">
        <v>190.668045599995</v>
      </c>
      <c r="V95" s="1" t="s">
        <v>32</v>
      </c>
      <c r="W95" s="1">
        <v>1.0490799999970399</v>
      </c>
      <c r="X95" s="1" t="s">
        <v>33</v>
      </c>
      <c r="Y95" s="1" t="s">
        <v>43</v>
      </c>
      <c r="Z95" s="1">
        <v>1</v>
      </c>
      <c r="AA95" s="1" t="s">
        <v>44</v>
      </c>
      <c r="AB95" s="1" t="s">
        <v>36</v>
      </c>
      <c r="AC95" s="1"/>
      <c r="AD95" s="1" t="s">
        <v>37</v>
      </c>
      <c r="AE95" s="1">
        <v>60.147300741681299</v>
      </c>
      <c r="AF95" s="1" t="s">
        <v>45</v>
      </c>
    </row>
    <row r="96" spans="1:32" x14ac:dyDescent="0.35">
      <c r="A96" s="1">
        <v>49</v>
      </c>
      <c r="B96" s="1">
        <v>60</v>
      </c>
      <c r="C96" s="1">
        <v>89</v>
      </c>
      <c r="D96" s="1">
        <v>94</v>
      </c>
      <c r="E96" s="1">
        <v>4</v>
      </c>
      <c r="F96" s="1">
        <v>9</v>
      </c>
      <c r="G96" s="1" t="s">
        <v>32</v>
      </c>
      <c r="H96" s="1">
        <v>1.79167350000352</v>
      </c>
      <c r="I96" s="1" t="s">
        <v>33</v>
      </c>
      <c r="J96" s="1">
        <v>9</v>
      </c>
      <c r="K96" s="1">
        <v>4</v>
      </c>
      <c r="L96" s="1">
        <v>94</v>
      </c>
      <c r="M96" s="1">
        <v>4</v>
      </c>
      <c r="N96" s="1">
        <v>190.68404129999499</v>
      </c>
      <c r="O96" s="1"/>
      <c r="P96" s="1">
        <v>190.673671699994</v>
      </c>
      <c r="Q96" s="1">
        <v>190.68404129999499</v>
      </c>
      <c r="R96" s="1">
        <v>191.66732759999999</v>
      </c>
      <c r="S96" s="1">
        <v>191.66732759999999</v>
      </c>
      <c r="T96" s="1">
        <v>191.683906899997</v>
      </c>
      <c r="U96" s="1">
        <v>193.467790999995</v>
      </c>
      <c r="V96" s="1" t="s">
        <v>32</v>
      </c>
      <c r="W96" s="1">
        <v>1.79167350000352</v>
      </c>
      <c r="X96" s="1" t="s">
        <v>33</v>
      </c>
      <c r="Y96" s="1" t="s">
        <v>43</v>
      </c>
      <c r="Z96" s="1">
        <v>1</v>
      </c>
      <c r="AA96" s="1" t="s">
        <v>44</v>
      </c>
      <c r="AB96" s="1" t="s">
        <v>36</v>
      </c>
      <c r="AC96" s="1"/>
      <c r="AD96" s="1" t="s">
        <v>37</v>
      </c>
      <c r="AE96" s="1">
        <v>60.147300741681299</v>
      </c>
      <c r="AF96" s="1" t="s">
        <v>45</v>
      </c>
    </row>
    <row r="97" spans="1:32" x14ac:dyDescent="0.35">
      <c r="A97" s="1">
        <v>15</v>
      </c>
      <c r="B97" s="1">
        <v>35</v>
      </c>
      <c r="C97" s="1">
        <v>13</v>
      </c>
      <c r="D97" s="1">
        <v>95</v>
      </c>
      <c r="E97" s="1">
        <v>5</v>
      </c>
      <c r="F97" s="1">
        <v>9</v>
      </c>
      <c r="G97" s="1" t="s">
        <v>32</v>
      </c>
      <c r="H97" s="1">
        <v>0.75533149999682703</v>
      </c>
      <c r="I97" s="1" t="s">
        <v>33</v>
      </c>
      <c r="J97" s="1">
        <v>9</v>
      </c>
      <c r="K97" s="1">
        <v>5</v>
      </c>
      <c r="L97" s="1">
        <v>95</v>
      </c>
      <c r="M97" s="1">
        <v>1</v>
      </c>
      <c r="N97" s="1">
        <v>193.48333419999801</v>
      </c>
      <c r="O97" s="1"/>
      <c r="P97" s="1">
        <v>193.47619239999699</v>
      </c>
      <c r="Q97" s="1">
        <v>193.48333419999801</v>
      </c>
      <c r="R97" s="1">
        <v>194.46674559999499</v>
      </c>
      <c r="S97" s="1">
        <v>194.46674559999499</v>
      </c>
      <c r="T97" s="1">
        <v>194.483406699997</v>
      </c>
      <c r="U97" s="1">
        <v>195.233829999997</v>
      </c>
      <c r="V97" s="1" t="s">
        <v>32</v>
      </c>
      <c r="W97" s="1">
        <v>0.75533149999682703</v>
      </c>
      <c r="X97" s="1" t="s">
        <v>33</v>
      </c>
      <c r="Y97" s="1" t="s">
        <v>43</v>
      </c>
      <c r="Z97" s="1">
        <v>1</v>
      </c>
      <c r="AA97" s="1" t="s">
        <v>44</v>
      </c>
      <c r="AB97" s="1" t="s">
        <v>36</v>
      </c>
      <c r="AC97" s="1"/>
      <c r="AD97" s="1" t="s">
        <v>37</v>
      </c>
      <c r="AE97" s="1">
        <v>60.147300741681299</v>
      </c>
      <c r="AF97" s="1" t="s">
        <v>45</v>
      </c>
    </row>
    <row r="98" spans="1:32" x14ac:dyDescent="0.35">
      <c r="A98" s="1">
        <v>88</v>
      </c>
      <c r="B98" s="1">
        <v>105</v>
      </c>
      <c r="C98" s="1">
        <v>200</v>
      </c>
      <c r="D98" s="1">
        <v>96</v>
      </c>
      <c r="E98" s="1">
        <v>6</v>
      </c>
      <c r="F98" s="1">
        <v>9</v>
      </c>
      <c r="G98" s="1" t="s">
        <v>32</v>
      </c>
      <c r="H98" s="1">
        <v>1.9027588000026201</v>
      </c>
      <c r="I98" s="1" t="s">
        <v>33</v>
      </c>
      <c r="J98" s="1">
        <v>9</v>
      </c>
      <c r="K98" s="1">
        <v>6</v>
      </c>
      <c r="L98" s="1">
        <v>96</v>
      </c>
      <c r="M98" s="1">
        <v>7</v>
      </c>
      <c r="N98" s="1">
        <v>195.24984939999501</v>
      </c>
      <c r="O98" s="1"/>
      <c r="P98" s="1">
        <v>195.23924639999299</v>
      </c>
      <c r="Q98" s="1">
        <v>195.24984939999501</v>
      </c>
      <c r="R98" s="1">
        <v>196.23313019999401</v>
      </c>
      <c r="S98" s="1">
        <v>196.23313019999401</v>
      </c>
      <c r="T98" s="1">
        <v>196.24978149999501</v>
      </c>
      <c r="U98" s="1">
        <v>198.150529599995</v>
      </c>
      <c r="V98" s="1" t="s">
        <v>32</v>
      </c>
      <c r="W98" s="1">
        <v>1.9027588000026201</v>
      </c>
      <c r="X98" s="1" t="s">
        <v>33</v>
      </c>
      <c r="Y98" s="1" t="s">
        <v>43</v>
      </c>
      <c r="Z98" s="1">
        <v>1</v>
      </c>
      <c r="AA98" s="1" t="s">
        <v>44</v>
      </c>
      <c r="AB98" s="1" t="s">
        <v>36</v>
      </c>
      <c r="AC98" s="1"/>
      <c r="AD98" s="1" t="s">
        <v>37</v>
      </c>
      <c r="AE98" s="1">
        <v>60.147300741681299</v>
      </c>
      <c r="AF98" s="1" t="s">
        <v>45</v>
      </c>
    </row>
    <row r="99" spans="1:32" x14ac:dyDescent="0.35">
      <c r="A99" s="1">
        <v>67</v>
      </c>
      <c r="B99" s="1">
        <v>75</v>
      </c>
      <c r="C99" s="1">
        <v>119</v>
      </c>
      <c r="D99" s="1">
        <v>97</v>
      </c>
      <c r="E99" s="1">
        <v>7</v>
      </c>
      <c r="F99" s="1">
        <v>9</v>
      </c>
      <c r="G99" s="1" t="s">
        <v>32</v>
      </c>
      <c r="H99" s="1">
        <v>3.50357950000034</v>
      </c>
      <c r="I99" s="1" t="s">
        <v>33</v>
      </c>
      <c r="J99" s="1">
        <v>9</v>
      </c>
      <c r="K99" s="1">
        <v>7</v>
      </c>
      <c r="L99" s="1">
        <v>97</v>
      </c>
      <c r="M99" s="1">
        <v>5</v>
      </c>
      <c r="N99" s="1">
        <v>198.16608609999801</v>
      </c>
      <c r="O99" s="1"/>
      <c r="P99" s="1">
        <v>198.15805999999401</v>
      </c>
      <c r="Q99" s="1">
        <v>198.16608609999801</v>
      </c>
      <c r="R99" s="1">
        <v>199.166016399998</v>
      </c>
      <c r="S99" s="1">
        <v>199.166016399998</v>
      </c>
      <c r="T99" s="1">
        <v>199.166016399998</v>
      </c>
      <c r="U99" s="1">
        <v>202.68302699999899</v>
      </c>
      <c r="V99" s="1" t="s">
        <v>32</v>
      </c>
      <c r="W99" s="1">
        <v>3.50357950000034</v>
      </c>
      <c r="X99" s="1" t="s">
        <v>33</v>
      </c>
      <c r="Y99" s="1" t="s">
        <v>43</v>
      </c>
      <c r="Z99" s="1">
        <v>1</v>
      </c>
      <c r="AA99" s="1" t="s">
        <v>44</v>
      </c>
      <c r="AB99" s="1" t="s">
        <v>36</v>
      </c>
      <c r="AC99" s="1"/>
      <c r="AD99" s="1" t="s">
        <v>37</v>
      </c>
      <c r="AE99" s="1">
        <v>60.147300741681299</v>
      </c>
      <c r="AF99" s="1" t="s">
        <v>45</v>
      </c>
    </row>
    <row r="100" spans="1:32" x14ac:dyDescent="0.35">
      <c r="A100" s="1">
        <v>78</v>
      </c>
      <c r="B100" s="1">
        <v>80</v>
      </c>
      <c r="C100" s="1">
        <v>162</v>
      </c>
      <c r="D100" s="1">
        <v>98</v>
      </c>
      <c r="E100" s="1">
        <v>8</v>
      </c>
      <c r="F100" s="1">
        <v>9</v>
      </c>
      <c r="G100" s="1" t="s">
        <v>32</v>
      </c>
      <c r="H100" s="1">
        <v>0.58286529999895698</v>
      </c>
      <c r="I100" s="1" t="s">
        <v>33</v>
      </c>
      <c r="J100" s="1">
        <v>9</v>
      </c>
      <c r="K100" s="1">
        <v>8</v>
      </c>
      <c r="L100" s="1">
        <v>98</v>
      </c>
      <c r="M100" s="1">
        <v>6</v>
      </c>
      <c r="N100" s="1">
        <v>202.699127799998</v>
      </c>
      <c r="O100" s="1"/>
      <c r="P100" s="1">
        <v>202.688652999997</v>
      </c>
      <c r="Q100" s="1">
        <v>202.699127799998</v>
      </c>
      <c r="R100" s="1">
        <v>203.682566699993</v>
      </c>
      <c r="S100" s="1">
        <v>203.682566699993</v>
      </c>
      <c r="T100" s="1">
        <v>203.698868799998</v>
      </c>
      <c r="U100" s="1">
        <v>204.28249069999501</v>
      </c>
      <c r="V100" s="1" t="s">
        <v>32</v>
      </c>
      <c r="W100" s="1">
        <v>0.58286529999895698</v>
      </c>
      <c r="X100" s="1" t="s">
        <v>33</v>
      </c>
      <c r="Y100" s="1" t="s">
        <v>43</v>
      </c>
      <c r="Z100" s="1">
        <v>1</v>
      </c>
      <c r="AA100" s="1" t="s">
        <v>44</v>
      </c>
      <c r="AB100" s="1" t="s">
        <v>36</v>
      </c>
      <c r="AC100" s="1"/>
      <c r="AD100" s="1" t="s">
        <v>37</v>
      </c>
      <c r="AE100" s="1">
        <v>60.147300741681299</v>
      </c>
      <c r="AF100" s="1" t="s">
        <v>45</v>
      </c>
    </row>
    <row r="101" spans="1:32" x14ac:dyDescent="0.35">
      <c r="A101" s="1">
        <v>11</v>
      </c>
      <c r="B101" s="1">
        <v>30</v>
      </c>
      <c r="C101" s="1">
        <v>7</v>
      </c>
      <c r="D101" s="1">
        <v>99</v>
      </c>
      <c r="E101" s="1">
        <v>9</v>
      </c>
      <c r="F101" s="1">
        <v>9</v>
      </c>
      <c r="G101" s="1" t="s">
        <v>39</v>
      </c>
      <c r="H101" s="1">
        <v>6.9206359000017903</v>
      </c>
      <c r="I101" s="1" t="s">
        <v>33</v>
      </c>
      <c r="J101" s="1">
        <v>9</v>
      </c>
      <c r="K101" s="1">
        <v>9</v>
      </c>
      <c r="L101" s="1">
        <v>99</v>
      </c>
      <c r="M101" s="1">
        <v>0</v>
      </c>
      <c r="N101" s="1">
        <v>204.29839849999499</v>
      </c>
      <c r="O101" s="1"/>
      <c r="P101" s="1">
        <v>204.289986899995</v>
      </c>
      <c r="Q101" s="1">
        <v>204.29839849999499</v>
      </c>
      <c r="R101" s="1">
        <v>205.28169359999399</v>
      </c>
      <c r="S101" s="1">
        <v>205.28169359999399</v>
      </c>
      <c r="T101" s="1">
        <v>205.29828659999399</v>
      </c>
      <c r="U101" s="1">
        <v>212.21506609999699</v>
      </c>
      <c r="V101" s="1" t="s">
        <v>39</v>
      </c>
      <c r="W101" s="1">
        <v>6.9206359000017903</v>
      </c>
      <c r="X101" s="1" t="s">
        <v>33</v>
      </c>
      <c r="Y101" s="1" t="s">
        <v>43</v>
      </c>
      <c r="Z101" s="1">
        <v>1</v>
      </c>
      <c r="AA101" s="1" t="s">
        <v>44</v>
      </c>
      <c r="AB101" s="1" t="s">
        <v>36</v>
      </c>
      <c r="AC101" s="1"/>
      <c r="AD101" s="1" t="s">
        <v>37</v>
      </c>
      <c r="AE101" s="1">
        <v>60.147300741681299</v>
      </c>
      <c r="AF101" s="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workbookViewId="0">
      <selection activeCell="F12" sqref="F12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5">
      <c r="A2" s="1">
        <v>78</v>
      </c>
      <c r="B2" s="1">
        <v>80</v>
      </c>
      <c r="C2" s="1">
        <v>162</v>
      </c>
      <c r="D2" s="1">
        <v>0</v>
      </c>
      <c r="E2" s="1">
        <v>0</v>
      </c>
      <c r="F2" s="1">
        <v>0</v>
      </c>
      <c r="G2" s="1" t="s">
        <v>32</v>
      </c>
      <c r="H2" s="1">
        <v>1.0502179000031899</v>
      </c>
      <c r="I2" s="1" t="s">
        <v>33</v>
      </c>
      <c r="J2" s="1">
        <v>0</v>
      </c>
      <c r="K2" s="1">
        <v>0</v>
      </c>
      <c r="L2" s="1">
        <v>0</v>
      </c>
      <c r="M2" s="1">
        <v>6</v>
      </c>
      <c r="N2" s="1">
        <v>0.201346599998942</v>
      </c>
      <c r="O2" s="1"/>
      <c r="P2" s="1">
        <v>0.189174299994192</v>
      </c>
      <c r="Q2" s="1">
        <v>0.201346599998942</v>
      </c>
      <c r="R2" s="1">
        <v>1.0015024999956901</v>
      </c>
      <c r="S2" s="1">
        <v>1.0015024999956901</v>
      </c>
      <c r="T2" s="1">
        <v>1.2013065999999499</v>
      </c>
      <c r="U2" s="1">
        <v>2.0774948999969598</v>
      </c>
      <c r="V2" s="1" t="s">
        <v>32</v>
      </c>
      <c r="W2" s="1">
        <v>1.0502179000031899</v>
      </c>
      <c r="X2" s="1" t="s">
        <v>33</v>
      </c>
      <c r="Y2" s="1" t="s">
        <v>46</v>
      </c>
      <c r="Z2" s="1">
        <v>1</v>
      </c>
      <c r="AA2" s="1" t="s">
        <v>47</v>
      </c>
      <c r="AB2" s="1" t="s">
        <v>36</v>
      </c>
      <c r="AC2" s="1"/>
      <c r="AD2" s="1" t="s">
        <v>37</v>
      </c>
      <c r="AE2" s="1">
        <v>60.020406938280097</v>
      </c>
      <c r="AF2" s="1" t="s">
        <v>48</v>
      </c>
    </row>
    <row r="3" spans="1:32" x14ac:dyDescent="0.35">
      <c r="A3" s="1">
        <v>49</v>
      </c>
      <c r="B3" s="1">
        <v>60</v>
      </c>
      <c r="C3" s="1">
        <v>89</v>
      </c>
      <c r="D3" s="1">
        <v>1</v>
      </c>
      <c r="E3" s="1">
        <v>1</v>
      </c>
      <c r="F3" s="1">
        <v>0</v>
      </c>
      <c r="G3" s="1" t="s">
        <v>32</v>
      </c>
      <c r="H3" s="1">
        <v>0.75494020000041895</v>
      </c>
      <c r="I3" s="1" t="s">
        <v>33</v>
      </c>
      <c r="J3" s="1">
        <v>0</v>
      </c>
      <c r="K3" s="1">
        <v>1</v>
      </c>
      <c r="L3" s="1">
        <v>1</v>
      </c>
      <c r="M3" s="1">
        <v>4</v>
      </c>
      <c r="N3" s="1">
        <v>2.1011037999996902</v>
      </c>
      <c r="O3" s="1"/>
      <c r="P3" s="1">
        <v>2.08855290000065</v>
      </c>
      <c r="Q3" s="1">
        <v>2.1011037999996902</v>
      </c>
      <c r="R3" s="1">
        <v>3.0843533000006502</v>
      </c>
      <c r="S3" s="1">
        <v>3.0843533000006502</v>
      </c>
      <c r="T3" s="1">
        <v>3.1009408999961998</v>
      </c>
      <c r="U3" s="1">
        <v>3.8519133000008798</v>
      </c>
      <c r="V3" s="1" t="s">
        <v>32</v>
      </c>
      <c r="W3" s="1">
        <v>0.75494020000041895</v>
      </c>
      <c r="X3" s="1" t="s">
        <v>33</v>
      </c>
      <c r="Y3" s="1" t="s">
        <v>46</v>
      </c>
      <c r="Z3" s="1">
        <v>1</v>
      </c>
      <c r="AA3" s="1" t="s">
        <v>47</v>
      </c>
      <c r="AB3" s="1" t="s">
        <v>36</v>
      </c>
      <c r="AC3" s="1"/>
      <c r="AD3" s="1" t="s">
        <v>37</v>
      </c>
      <c r="AE3" s="1">
        <v>60.020406938280097</v>
      </c>
      <c r="AF3" s="1" t="s">
        <v>48</v>
      </c>
    </row>
    <row r="4" spans="1:32" x14ac:dyDescent="0.35">
      <c r="A4" s="1">
        <v>88</v>
      </c>
      <c r="B4" s="1">
        <v>105</v>
      </c>
      <c r="C4" s="1">
        <v>200</v>
      </c>
      <c r="D4" s="1">
        <v>2</v>
      </c>
      <c r="E4" s="1">
        <v>2</v>
      </c>
      <c r="F4" s="1">
        <v>0</v>
      </c>
      <c r="G4" s="1" t="s">
        <v>32</v>
      </c>
      <c r="H4" s="1">
        <v>0.77221709999867005</v>
      </c>
      <c r="I4" s="1" t="s">
        <v>33</v>
      </c>
      <c r="J4" s="1">
        <v>0</v>
      </c>
      <c r="K4" s="1">
        <v>2</v>
      </c>
      <c r="L4" s="1">
        <v>2</v>
      </c>
      <c r="M4" s="1">
        <v>7</v>
      </c>
      <c r="N4" s="1">
        <v>3.8844112000006099</v>
      </c>
      <c r="O4" s="1"/>
      <c r="P4" s="1">
        <v>3.8686653999975502</v>
      </c>
      <c r="Q4" s="1">
        <v>3.8844112000006099</v>
      </c>
      <c r="R4" s="1">
        <v>4.8676756999993804</v>
      </c>
      <c r="S4" s="1">
        <v>4.8676756999993804</v>
      </c>
      <c r="T4" s="1">
        <v>4.8842561999990703</v>
      </c>
      <c r="U4" s="1">
        <v>5.6517109999986097</v>
      </c>
      <c r="V4" s="1" t="s">
        <v>32</v>
      </c>
      <c r="W4" s="1">
        <v>0.77221709999867005</v>
      </c>
      <c r="X4" s="1" t="s">
        <v>33</v>
      </c>
      <c r="Y4" s="1" t="s">
        <v>46</v>
      </c>
      <c r="Z4" s="1">
        <v>1</v>
      </c>
      <c r="AA4" s="1" t="s">
        <v>47</v>
      </c>
      <c r="AB4" s="1" t="s">
        <v>36</v>
      </c>
      <c r="AC4" s="1"/>
      <c r="AD4" s="1" t="s">
        <v>37</v>
      </c>
      <c r="AE4" s="1">
        <v>60.020406938280097</v>
      </c>
      <c r="AF4" s="1" t="s">
        <v>48</v>
      </c>
    </row>
    <row r="5" spans="1:32" x14ac:dyDescent="0.35">
      <c r="A5" s="1">
        <v>40</v>
      </c>
      <c r="B5" s="1">
        <v>55</v>
      </c>
      <c r="C5" s="1">
        <v>62</v>
      </c>
      <c r="D5" s="1">
        <v>3</v>
      </c>
      <c r="E5" s="1">
        <v>3</v>
      </c>
      <c r="F5" s="1">
        <v>0</v>
      </c>
      <c r="G5" s="1" t="s">
        <v>32</v>
      </c>
      <c r="H5" s="1">
        <v>0.64501219999510795</v>
      </c>
      <c r="I5" s="1" t="s">
        <v>33</v>
      </c>
      <c r="J5" s="1">
        <v>0</v>
      </c>
      <c r="K5" s="1">
        <v>3</v>
      </c>
      <c r="L5" s="1">
        <v>3</v>
      </c>
      <c r="M5" s="1">
        <v>3</v>
      </c>
      <c r="N5" s="1">
        <v>5.6673311999984399</v>
      </c>
      <c r="O5" s="1"/>
      <c r="P5" s="1">
        <v>5.658952699996</v>
      </c>
      <c r="Q5" s="1">
        <v>5.6673311999984399</v>
      </c>
      <c r="R5" s="1">
        <v>6.66724099999555</v>
      </c>
      <c r="S5" s="1">
        <v>6.66724099999555</v>
      </c>
      <c r="T5" s="1">
        <v>6.66724099999555</v>
      </c>
      <c r="U5" s="1">
        <v>7.31776459999673</v>
      </c>
      <c r="V5" s="1" t="s">
        <v>32</v>
      </c>
      <c r="W5" s="1">
        <v>0.64501219999510795</v>
      </c>
      <c r="X5" s="1" t="s">
        <v>33</v>
      </c>
      <c r="Y5" s="1" t="s">
        <v>46</v>
      </c>
      <c r="Z5" s="1">
        <v>1</v>
      </c>
      <c r="AA5" s="1" t="s">
        <v>47</v>
      </c>
      <c r="AB5" s="1" t="s">
        <v>36</v>
      </c>
      <c r="AC5" s="1"/>
      <c r="AD5" s="1" t="s">
        <v>37</v>
      </c>
      <c r="AE5" s="1">
        <v>60.020406938280097</v>
      </c>
      <c r="AF5" s="1" t="s">
        <v>48</v>
      </c>
    </row>
    <row r="6" spans="1:32" x14ac:dyDescent="0.35">
      <c r="A6" s="1">
        <v>27</v>
      </c>
      <c r="B6" s="1">
        <v>50</v>
      </c>
      <c r="C6" s="1">
        <v>21</v>
      </c>
      <c r="D6" s="1">
        <v>4</v>
      </c>
      <c r="E6" s="1">
        <v>4</v>
      </c>
      <c r="F6" s="1">
        <v>0</v>
      </c>
      <c r="G6" s="1" t="s">
        <v>32</v>
      </c>
      <c r="H6" s="1">
        <v>0.82936019999760902</v>
      </c>
      <c r="I6" s="1" t="s">
        <v>33</v>
      </c>
      <c r="J6" s="1">
        <v>0</v>
      </c>
      <c r="K6" s="1">
        <v>4</v>
      </c>
      <c r="L6" s="1">
        <v>4</v>
      </c>
      <c r="M6" s="1">
        <v>2</v>
      </c>
      <c r="N6" s="1">
        <v>7.3341670000008801</v>
      </c>
      <c r="O6" s="1"/>
      <c r="P6" s="1">
        <v>7.3236551999943904</v>
      </c>
      <c r="Q6" s="1">
        <v>7.3341670000008801</v>
      </c>
      <c r="R6" s="1">
        <v>8.3169764999984093</v>
      </c>
      <c r="S6" s="1">
        <v>8.3169764999984093</v>
      </c>
      <c r="T6" s="1">
        <v>8.3339453999942599</v>
      </c>
      <c r="U6" s="1">
        <v>9.1507589999964694</v>
      </c>
      <c r="V6" s="1" t="s">
        <v>32</v>
      </c>
      <c r="W6" s="1">
        <v>0.82936019999760902</v>
      </c>
      <c r="X6" s="1" t="s">
        <v>33</v>
      </c>
      <c r="Y6" s="1" t="s">
        <v>46</v>
      </c>
      <c r="Z6" s="1">
        <v>1</v>
      </c>
      <c r="AA6" s="1" t="s">
        <v>47</v>
      </c>
      <c r="AB6" s="1" t="s">
        <v>36</v>
      </c>
      <c r="AC6" s="1"/>
      <c r="AD6" s="1" t="s">
        <v>37</v>
      </c>
      <c r="AE6" s="1">
        <v>60.020406938280097</v>
      </c>
      <c r="AF6" s="1" t="s">
        <v>48</v>
      </c>
    </row>
    <row r="7" spans="1:32" x14ac:dyDescent="0.35">
      <c r="A7" s="1">
        <v>110</v>
      </c>
      <c r="B7" s="1">
        <v>135</v>
      </c>
      <c r="C7" s="1">
        <v>270</v>
      </c>
      <c r="D7" s="1">
        <v>5</v>
      </c>
      <c r="E7" s="1">
        <v>5</v>
      </c>
      <c r="F7" s="1">
        <v>0</v>
      </c>
      <c r="G7" s="1" t="s">
        <v>32</v>
      </c>
      <c r="H7" s="1">
        <v>0.531765499996254</v>
      </c>
      <c r="I7" s="1" t="s">
        <v>33</v>
      </c>
      <c r="J7" s="1">
        <v>0</v>
      </c>
      <c r="K7" s="1">
        <v>5</v>
      </c>
      <c r="L7" s="1">
        <v>5</v>
      </c>
      <c r="M7" s="1">
        <v>9</v>
      </c>
      <c r="N7" s="1">
        <v>9.1666824999992897</v>
      </c>
      <c r="O7" s="1"/>
      <c r="P7" s="1">
        <v>9.1594898999974195</v>
      </c>
      <c r="Q7" s="1">
        <v>9.1666824999992897</v>
      </c>
      <c r="R7" s="1">
        <v>10.149840799997</v>
      </c>
      <c r="S7" s="1">
        <v>10.149840799997</v>
      </c>
      <c r="T7" s="1">
        <v>10.1666174999991</v>
      </c>
      <c r="U7" s="1">
        <v>10.6840517999953</v>
      </c>
      <c r="V7" s="1" t="s">
        <v>32</v>
      </c>
      <c r="W7" s="1">
        <v>0.531765499996254</v>
      </c>
      <c r="X7" s="1" t="s">
        <v>33</v>
      </c>
      <c r="Y7" s="1" t="s">
        <v>46</v>
      </c>
      <c r="Z7" s="1">
        <v>1</v>
      </c>
      <c r="AA7" s="1" t="s">
        <v>47</v>
      </c>
      <c r="AB7" s="1" t="s">
        <v>36</v>
      </c>
      <c r="AC7" s="1"/>
      <c r="AD7" s="1" t="s">
        <v>37</v>
      </c>
      <c r="AE7" s="1">
        <v>60.020406938280097</v>
      </c>
      <c r="AF7" s="1" t="s">
        <v>48</v>
      </c>
    </row>
    <row r="8" spans="1:32" x14ac:dyDescent="0.35">
      <c r="A8" s="1">
        <v>98</v>
      </c>
      <c r="B8" s="1">
        <v>120</v>
      </c>
      <c r="C8" s="1">
        <v>230</v>
      </c>
      <c r="D8" s="1">
        <v>6</v>
      </c>
      <c r="E8" s="1">
        <v>6</v>
      </c>
      <c r="F8" s="1">
        <v>0</v>
      </c>
      <c r="G8" s="1" t="s">
        <v>32</v>
      </c>
      <c r="H8" s="1">
        <v>0.432218399997509</v>
      </c>
      <c r="I8" s="1" t="s">
        <v>33</v>
      </c>
      <c r="J8" s="1">
        <v>0</v>
      </c>
      <c r="K8" s="1">
        <v>6</v>
      </c>
      <c r="L8" s="1">
        <v>6</v>
      </c>
      <c r="M8" s="1">
        <v>8</v>
      </c>
      <c r="N8" s="1">
        <v>10.699853999998499</v>
      </c>
      <c r="O8" s="1"/>
      <c r="P8" s="1">
        <v>10.691026199994599</v>
      </c>
      <c r="Q8" s="1">
        <v>10.699853999998499</v>
      </c>
      <c r="R8" s="1">
        <v>11.6831085999947</v>
      </c>
      <c r="S8" s="1">
        <v>11.6831085999947</v>
      </c>
      <c r="T8" s="1">
        <v>11.699718799995001</v>
      </c>
      <c r="U8" s="1">
        <v>12.116916499995501</v>
      </c>
      <c r="V8" s="1" t="s">
        <v>32</v>
      </c>
      <c r="W8" s="1">
        <v>0.432218399997509</v>
      </c>
      <c r="X8" s="1" t="s">
        <v>33</v>
      </c>
      <c r="Y8" s="1" t="s">
        <v>46</v>
      </c>
      <c r="Z8" s="1">
        <v>1</v>
      </c>
      <c r="AA8" s="1" t="s">
        <v>47</v>
      </c>
      <c r="AB8" s="1" t="s">
        <v>36</v>
      </c>
      <c r="AC8" s="1"/>
      <c r="AD8" s="1" t="s">
        <v>37</v>
      </c>
      <c r="AE8" s="1">
        <v>60.020406938280097</v>
      </c>
      <c r="AF8" s="1" t="s">
        <v>48</v>
      </c>
    </row>
    <row r="9" spans="1:32" x14ac:dyDescent="0.35">
      <c r="A9" s="1">
        <v>67</v>
      </c>
      <c r="B9" s="1">
        <v>75</v>
      </c>
      <c r="C9" s="1">
        <v>119</v>
      </c>
      <c r="D9" s="1">
        <v>7</v>
      </c>
      <c r="E9" s="1">
        <v>7</v>
      </c>
      <c r="F9" s="1">
        <v>0</v>
      </c>
      <c r="G9" s="1" t="s">
        <v>32</v>
      </c>
      <c r="H9" s="1">
        <v>0.431223999999929</v>
      </c>
      <c r="I9" s="1" t="s">
        <v>33</v>
      </c>
      <c r="J9" s="1">
        <v>0</v>
      </c>
      <c r="K9" s="1">
        <v>7</v>
      </c>
      <c r="L9" s="1">
        <v>7</v>
      </c>
      <c r="M9" s="1">
        <v>5</v>
      </c>
      <c r="N9" s="1">
        <v>12.132718699998801</v>
      </c>
      <c r="O9" s="1"/>
      <c r="P9" s="1">
        <v>12.125240999994199</v>
      </c>
      <c r="Q9" s="1">
        <v>12.132718699998801</v>
      </c>
      <c r="R9" s="1">
        <v>13.116436299998799</v>
      </c>
      <c r="S9" s="1">
        <v>13.116436299998799</v>
      </c>
      <c r="T9" s="1">
        <v>13.132624199999499</v>
      </c>
      <c r="U9" s="1">
        <v>13.550224599996</v>
      </c>
      <c r="V9" s="1" t="s">
        <v>32</v>
      </c>
      <c r="W9" s="1">
        <v>0.431223999999929</v>
      </c>
      <c r="X9" s="1" t="s">
        <v>33</v>
      </c>
      <c r="Y9" s="1" t="s">
        <v>46</v>
      </c>
      <c r="Z9" s="1">
        <v>1</v>
      </c>
      <c r="AA9" s="1" t="s">
        <v>47</v>
      </c>
      <c r="AB9" s="1" t="s">
        <v>36</v>
      </c>
      <c r="AC9" s="1"/>
      <c r="AD9" s="1" t="s">
        <v>37</v>
      </c>
      <c r="AE9" s="1">
        <v>60.020406938280097</v>
      </c>
      <c r="AF9" s="1" t="s">
        <v>48</v>
      </c>
    </row>
    <row r="10" spans="1:32" x14ac:dyDescent="0.35">
      <c r="A10" s="1">
        <v>11</v>
      </c>
      <c r="B10" s="1">
        <v>30</v>
      </c>
      <c r="C10" s="1">
        <v>7</v>
      </c>
      <c r="D10" s="1">
        <v>8</v>
      </c>
      <c r="E10" s="1">
        <v>8</v>
      </c>
      <c r="F10" s="1">
        <v>0</v>
      </c>
      <c r="G10" s="1" t="s">
        <v>39</v>
      </c>
      <c r="H10" s="1">
        <v>0.66841940000449496</v>
      </c>
      <c r="I10" s="1" t="s">
        <v>33</v>
      </c>
      <c r="J10" s="1">
        <v>0</v>
      </c>
      <c r="K10" s="1">
        <v>8</v>
      </c>
      <c r="L10" s="1">
        <v>8</v>
      </c>
      <c r="M10" s="1">
        <v>0</v>
      </c>
      <c r="N10" s="1">
        <v>13.5660449999995</v>
      </c>
      <c r="O10" s="1"/>
      <c r="P10" s="1">
        <v>13.556036199996001</v>
      </c>
      <c r="Q10" s="1">
        <v>13.5660449999995</v>
      </c>
      <c r="R10" s="1">
        <v>14.565923199996099</v>
      </c>
      <c r="S10" s="1">
        <v>14.565923199996099</v>
      </c>
      <c r="T10" s="1">
        <v>14.565923199996099</v>
      </c>
      <c r="U10" s="1">
        <v>15.2504593999983</v>
      </c>
      <c r="V10" s="1" t="s">
        <v>39</v>
      </c>
      <c r="W10" s="1">
        <v>0.66841940000449496</v>
      </c>
      <c r="X10" s="1" t="s">
        <v>33</v>
      </c>
      <c r="Y10" s="1" t="s">
        <v>46</v>
      </c>
      <c r="Z10" s="1">
        <v>1</v>
      </c>
      <c r="AA10" s="1" t="s">
        <v>47</v>
      </c>
      <c r="AB10" s="1" t="s">
        <v>36</v>
      </c>
      <c r="AC10" s="1"/>
      <c r="AD10" s="1" t="s">
        <v>37</v>
      </c>
      <c r="AE10" s="1">
        <v>60.020406938280097</v>
      </c>
      <c r="AF10" s="1" t="s">
        <v>48</v>
      </c>
    </row>
    <row r="11" spans="1:32" x14ac:dyDescent="0.35">
      <c r="A11" s="1">
        <v>15</v>
      </c>
      <c r="B11" s="1">
        <v>35</v>
      </c>
      <c r="C11" s="1">
        <v>13</v>
      </c>
      <c r="D11" s="1">
        <v>9</v>
      </c>
      <c r="E11" s="1">
        <v>9</v>
      </c>
      <c r="F11" s="1">
        <v>0</v>
      </c>
      <c r="G11" s="1" t="s">
        <v>39</v>
      </c>
      <c r="H11" s="1">
        <v>0.64101959999970803</v>
      </c>
      <c r="I11" s="1" t="s">
        <v>33</v>
      </c>
      <c r="J11" s="1">
        <v>0</v>
      </c>
      <c r="K11" s="1">
        <v>9</v>
      </c>
      <c r="L11" s="1">
        <v>9</v>
      </c>
      <c r="M11" s="1">
        <v>1</v>
      </c>
      <c r="N11" s="1">
        <v>15.2655894999988</v>
      </c>
      <c r="O11" s="1"/>
      <c r="P11" s="1">
        <v>15.2569685999988</v>
      </c>
      <c r="Q11" s="1">
        <v>15.2655894999988</v>
      </c>
      <c r="R11" s="1">
        <v>16.2659495999978</v>
      </c>
      <c r="S11" s="1">
        <v>16.2659495999978</v>
      </c>
      <c r="T11" s="1">
        <v>16.2659495999978</v>
      </c>
      <c r="U11" s="1">
        <v>16.916902799995999</v>
      </c>
      <c r="V11" s="1" t="s">
        <v>39</v>
      </c>
      <c r="W11" s="1">
        <v>0.64101959999970803</v>
      </c>
      <c r="X11" s="1" t="s">
        <v>33</v>
      </c>
      <c r="Y11" s="1" t="s">
        <v>46</v>
      </c>
      <c r="Z11" s="1">
        <v>1</v>
      </c>
      <c r="AA11" s="1" t="s">
        <v>47</v>
      </c>
      <c r="AB11" s="1" t="s">
        <v>36</v>
      </c>
      <c r="AC11" s="1"/>
      <c r="AD11" s="1" t="s">
        <v>37</v>
      </c>
      <c r="AE11" s="1">
        <v>60.020406938280097</v>
      </c>
      <c r="AF11" s="1" t="s">
        <v>48</v>
      </c>
    </row>
    <row r="12" spans="1:32" x14ac:dyDescent="0.35">
      <c r="A12" s="1">
        <v>88</v>
      </c>
      <c r="B12" s="1">
        <v>105</v>
      </c>
      <c r="C12" s="1">
        <v>200</v>
      </c>
      <c r="D12" s="1">
        <v>10</v>
      </c>
      <c r="E12" s="1">
        <v>0</v>
      </c>
      <c r="F12" s="1">
        <v>1</v>
      </c>
      <c r="G12" s="1" t="s">
        <v>32</v>
      </c>
      <c r="H12" s="1">
        <v>0.58770670000376402</v>
      </c>
      <c r="I12" s="1" t="s">
        <v>33</v>
      </c>
      <c r="J12" s="1">
        <v>1</v>
      </c>
      <c r="K12" s="1">
        <v>0</v>
      </c>
      <c r="L12" s="1">
        <v>10</v>
      </c>
      <c r="M12" s="1">
        <v>7</v>
      </c>
      <c r="N12" s="1">
        <v>16.948920799993999</v>
      </c>
      <c r="O12" s="1"/>
      <c r="P12" s="1">
        <v>16.924962799996099</v>
      </c>
      <c r="Q12" s="1">
        <v>16.948920799993999</v>
      </c>
      <c r="R12" s="1">
        <v>17.931996699997399</v>
      </c>
      <c r="S12" s="1">
        <v>17.931996699997399</v>
      </c>
      <c r="T12" s="1">
        <v>17.948924999996901</v>
      </c>
      <c r="U12" s="1">
        <v>18.532759499998001</v>
      </c>
      <c r="V12" s="1" t="s">
        <v>32</v>
      </c>
      <c r="W12" s="1">
        <v>0.58770670000376402</v>
      </c>
      <c r="X12" s="1" t="s">
        <v>33</v>
      </c>
      <c r="Y12" s="1" t="s">
        <v>46</v>
      </c>
      <c r="Z12" s="1">
        <v>1</v>
      </c>
      <c r="AA12" s="1" t="s">
        <v>47</v>
      </c>
      <c r="AB12" s="1" t="s">
        <v>36</v>
      </c>
      <c r="AC12" s="1"/>
      <c r="AD12" s="1" t="s">
        <v>37</v>
      </c>
      <c r="AE12" s="1">
        <v>60.020406938280097</v>
      </c>
      <c r="AF12" s="1" t="s">
        <v>48</v>
      </c>
    </row>
    <row r="13" spans="1:32" x14ac:dyDescent="0.35">
      <c r="A13" s="1">
        <v>11</v>
      </c>
      <c r="B13" s="1">
        <v>30</v>
      </c>
      <c r="C13" s="1">
        <v>7</v>
      </c>
      <c r="D13" s="1">
        <v>11</v>
      </c>
      <c r="E13" s="1">
        <v>1</v>
      </c>
      <c r="F13" s="1">
        <v>1</v>
      </c>
      <c r="G13" s="1" t="s">
        <v>39</v>
      </c>
      <c r="H13" s="1">
        <v>0.64587740000570104</v>
      </c>
      <c r="I13" s="1" t="s">
        <v>33</v>
      </c>
      <c r="J13" s="1">
        <v>1</v>
      </c>
      <c r="K13" s="1">
        <v>1</v>
      </c>
      <c r="L13" s="1">
        <v>11</v>
      </c>
      <c r="M13" s="1">
        <v>0</v>
      </c>
      <c r="N13" s="1">
        <v>18.5486206999994</v>
      </c>
      <c r="O13" s="1"/>
      <c r="P13" s="1">
        <v>18.539733799996601</v>
      </c>
      <c r="Q13" s="1">
        <v>18.5486206999994</v>
      </c>
      <c r="R13" s="1">
        <v>19.5317916999993</v>
      </c>
      <c r="S13" s="1">
        <v>19.5317916999993</v>
      </c>
      <c r="T13" s="1">
        <v>19.5484480999948</v>
      </c>
      <c r="U13" s="1">
        <v>20.1821662000002</v>
      </c>
      <c r="V13" s="1" t="s">
        <v>39</v>
      </c>
      <c r="W13" s="1">
        <v>0.64587740000570104</v>
      </c>
      <c r="X13" s="1" t="s">
        <v>33</v>
      </c>
      <c r="Y13" s="1" t="s">
        <v>46</v>
      </c>
      <c r="Z13" s="1">
        <v>1</v>
      </c>
      <c r="AA13" s="1" t="s">
        <v>47</v>
      </c>
      <c r="AB13" s="1" t="s">
        <v>36</v>
      </c>
      <c r="AC13" s="1"/>
      <c r="AD13" s="1" t="s">
        <v>37</v>
      </c>
      <c r="AE13" s="1">
        <v>60.020406938280097</v>
      </c>
      <c r="AF13" s="1" t="s">
        <v>48</v>
      </c>
    </row>
    <row r="14" spans="1:32" x14ac:dyDescent="0.35">
      <c r="A14" s="1">
        <v>40</v>
      </c>
      <c r="B14" s="1">
        <v>55</v>
      </c>
      <c r="C14" s="1">
        <v>62</v>
      </c>
      <c r="D14" s="1">
        <v>12</v>
      </c>
      <c r="E14" s="1">
        <v>2</v>
      </c>
      <c r="F14" s="1">
        <v>1</v>
      </c>
      <c r="G14" s="1" t="s">
        <v>32</v>
      </c>
      <c r="H14" s="1">
        <v>0.55615100000431905</v>
      </c>
      <c r="I14" s="1" t="s">
        <v>33</v>
      </c>
      <c r="J14" s="1">
        <v>1</v>
      </c>
      <c r="K14" s="1">
        <v>2</v>
      </c>
      <c r="L14" s="1">
        <v>12</v>
      </c>
      <c r="M14" s="1">
        <v>3</v>
      </c>
      <c r="N14" s="1">
        <v>20.198417999999901</v>
      </c>
      <c r="O14" s="1"/>
      <c r="P14" s="1">
        <v>20.187413699997698</v>
      </c>
      <c r="Q14" s="1">
        <v>20.198417999999901</v>
      </c>
      <c r="R14" s="1">
        <v>21.1813150999951</v>
      </c>
      <c r="S14" s="1">
        <v>21.1813150999951</v>
      </c>
      <c r="T14" s="1">
        <v>21.198060499998899</v>
      </c>
      <c r="U14" s="1">
        <v>21.749187299996201</v>
      </c>
      <c r="V14" s="1" t="s">
        <v>32</v>
      </c>
      <c r="W14" s="1">
        <v>0.55615100000431905</v>
      </c>
      <c r="X14" s="1" t="s">
        <v>33</v>
      </c>
      <c r="Y14" s="1" t="s">
        <v>46</v>
      </c>
      <c r="Z14" s="1">
        <v>1</v>
      </c>
      <c r="AA14" s="1" t="s">
        <v>47</v>
      </c>
      <c r="AB14" s="1" t="s">
        <v>36</v>
      </c>
      <c r="AC14" s="1"/>
      <c r="AD14" s="1" t="s">
        <v>37</v>
      </c>
      <c r="AE14" s="1">
        <v>60.020406938280097</v>
      </c>
      <c r="AF14" s="1" t="s">
        <v>48</v>
      </c>
    </row>
    <row r="15" spans="1:32" x14ac:dyDescent="0.35">
      <c r="A15" s="1">
        <v>110</v>
      </c>
      <c r="B15" s="1">
        <v>135</v>
      </c>
      <c r="C15" s="1">
        <v>270</v>
      </c>
      <c r="D15" s="1">
        <v>13</v>
      </c>
      <c r="E15" s="1">
        <v>3</v>
      </c>
      <c r="F15" s="1">
        <v>1</v>
      </c>
      <c r="G15" s="1" t="s">
        <v>32</v>
      </c>
      <c r="H15" s="1">
        <v>0.55077099999471102</v>
      </c>
      <c r="I15" s="1" t="s">
        <v>33</v>
      </c>
      <c r="J15" s="1">
        <v>1</v>
      </c>
      <c r="K15" s="1">
        <v>3</v>
      </c>
      <c r="L15" s="1">
        <v>13</v>
      </c>
      <c r="M15" s="1">
        <v>9</v>
      </c>
      <c r="N15" s="1">
        <v>21.764690899995902</v>
      </c>
      <c r="O15" s="1"/>
      <c r="P15" s="1">
        <v>21.756741400000401</v>
      </c>
      <c r="Q15" s="1">
        <v>21.764690899995902</v>
      </c>
      <c r="R15" s="1">
        <v>22.764696199999801</v>
      </c>
      <c r="S15" s="1">
        <v>22.764696199999801</v>
      </c>
      <c r="T15" s="1">
        <v>22.764696199999801</v>
      </c>
      <c r="U15" s="1">
        <v>23.332490699998701</v>
      </c>
      <c r="V15" s="1" t="s">
        <v>32</v>
      </c>
      <c r="W15" s="1">
        <v>0.55077099999471102</v>
      </c>
      <c r="X15" s="1" t="s">
        <v>33</v>
      </c>
      <c r="Y15" s="1" t="s">
        <v>46</v>
      </c>
      <c r="Z15" s="1">
        <v>1</v>
      </c>
      <c r="AA15" s="1" t="s">
        <v>47</v>
      </c>
      <c r="AB15" s="1" t="s">
        <v>36</v>
      </c>
      <c r="AC15" s="1"/>
      <c r="AD15" s="1" t="s">
        <v>37</v>
      </c>
      <c r="AE15" s="1">
        <v>60.020406938280097</v>
      </c>
      <c r="AF15" s="1" t="s">
        <v>48</v>
      </c>
    </row>
    <row r="16" spans="1:32" x14ac:dyDescent="0.35">
      <c r="A16" s="1">
        <v>49</v>
      </c>
      <c r="B16" s="1">
        <v>60</v>
      </c>
      <c r="C16" s="1">
        <v>89</v>
      </c>
      <c r="D16" s="1">
        <v>14</v>
      </c>
      <c r="E16" s="1">
        <v>4</v>
      </c>
      <c r="F16" s="1">
        <v>1</v>
      </c>
      <c r="G16" s="1" t="s">
        <v>32</v>
      </c>
      <c r="H16" s="1">
        <v>0.58899189999647195</v>
      </c>
      <c r="I16" s="1" t="s">
        <v>33</v>
      </c>
      <c r="J16" s="1">
        <v>1</v>
      </c>
      <c r="K16" s="1">
        <v>4</v>
      </c>
      <c r="L16" s="1">
        <v>14</v>
      </c>
      <c r="M16" s="1">
        <v>4</v>
      </c>
      <c r="N16" s="1">
        <v>23.347630999996898</v>
      </c>
      <c r="O16" s="1"/>
      <c r="P16" s="1">
        <v>23.338606799996299</v>
      </c>
      <c r="Q16" s="1">
        <v>23.347630999996898</v>
      </c>
      <c r="R16" s="1">
        <v>24.331664599994799</v>
      </c>
      <c r="S16" s="1">
        <v>24.331664599994799</v>
      </c>
      <c r="T16" s="1">
        <v>24.348334800000799</v>
      </c>
      <c r="U16" s="1">
        <v>24.931804699997802</v>
      </c>
      <c r="V16" s="1" t="s">
        <v>32</v>
      </c>
      <c r="W16" s="1">
        <v>0.58899189999647195</v>
      </c>
      <c r="X16" s="1" t="s">
        <v>33</v>
      </c>
      <c r="Y16" s="1" t="s">
        <v>46</v>
      </c>
      <c r="Z16" s="1">
        <v>1</v>
      </c>
      <c r="AA16" s="1" t="s">
        <v>47</v>
      </c>
      <c r="AB16" s="1" t="s">
        <v>36</v>
      </c>
      <c r="AC16" s="1"/>
      <c r="AD16" s="1" t="s">
        <v>37</v>
      </c>
      <c r="AE16" s="1">
        <v>60.020406938280097</v>
      </c>
      <c r="AF16" s="1" t="s">
        <v>48</v>
      </c>
    </row>
    <row r="17" spans="1:32" x14ac:dyDescent="0.35">
      <c r="A17" s="1">
        <v>27</v>
      </c>
      <c r="B17" s="1">
        <v>50</v>
      </c>
      <c r="C17" s="1">
        <v>21</v>
      </c>
      <c r="D17" s="1">
        <v>15</v>
      </c>
      <c r="E17" s="1">
        <v>5</v>
      </c>
      <c r="F17" s="1">
        <v>1</v>
      </c>
      <c r="G17" s="1" t="s">
        <v>32</v>
      </c>
      <c r="H17" s="1">
        <v>0.591943100000207</v>
      </c>
      <c r="I17" s="1" t="s">
        <v>33</v>
      </c>
      <c r="J17" s="1">
        <v>1</v>
      </c>
      <c r="K17" s="1">
        <v>5</v>
      </c>
      <c r="L17" s="1">
        <v>15</v>
      </c>
      <c r="M17" s="1">
        <v>2</v>
      </c>
      <c r="N17" s="1">
        <v>24.9644980999946</v>
      </c>
      <c r="O17" s="1"/>
      <c r="P17" s="1">
        <v>24.9398121999984</v>
      </c>
      <c r="Q17" s="1">
        <v>24.9644980999946</v>
      </c>
      <c r="R17" s="1">
        <v>25.947405599996198</v>
      </c>
      <c r="S17" s="1">
        <v>25.947405599996198</v>
      </c>
      <c r="T17" s="1">
        <v>25.963996099999299</v>
      </c>
      <c r="U17" s="1">
        <v>26.548397699996698</v>
      </c>
      <c r="V17" s="1" t="s">
        <v>32</v>
      </c>
      <c r="W17" s="1">
        <v>0.591943100000207</v>
      </c>
      <c r="X17" s="1" t="s">
        <v>33</v>
      </c>
      <c r="Y17" s="1" t="s">
        <v>46</v>
      </c>
      <c r="Z17" s="1">
        <v>1</v>
      </c>
      <c r="AA17" s="1" t="s">
        <v>47</v>
      </c>
      <c r="AB17" s="1" t="s">
        <v>36</v>
      </c>
      <c r="AC17" s="1"/>
      <c r="AD17" s="1" t="s">
        <v>37</v>
      </c>
      <c r="AE17" s="1">
        <v>60.020406938280097</v>
      </c>
      <c r="AF17" s="1" t="s">
        <v>48</v>
      </c>
    </row>
    <row r="18" spans="1:32" x14ac:dyDescent="0.35">
      <c r="A18" s="1">
        <v>15</v>
      </c>
      <c r="B18" s="1">
        <v>35</v>
      </c>
      <c r="C18" s="1">
        <v>13</v>
      </c>
      <c r="D18" s="1">
        <v>16</v>
      </c>
      <c r="E18" s="1">
        <v>6</v>
      </c>
      <c r="F18" s="1">
        <v>1</v>
      </c>
      <c r="G18" s="1" t="s">
        <v>39</v>
      </c>
      <c r="H18" s="1">
        <v>0.74115660000097705</v>
      </c>
      <c r="I18" s="1" t="s">
        <v>33</v>
      </c>
      <c r="J18" s="1">
        <v>1</v>
      </c>
      <c r="K18" s="1">
        <v>6</v>
      </c>
      <c r="L18" s="1">
        <v>16</v>
      </c>
      <c r="M18" s="1">
        <v>1</v>
      </c>
      <c r="N18" s="1">
        <v>26.5638963999954</v>
      </c>
      <c r="O18" s="1"/>
      <c r="P18" s="1">
        <v>26.553685799997702</v>
      </c>
      <c r="Q18" s="1">
        <v>26.5638963999954</v>
      </c>
      <c r="R18" s="1">
        <v>27.5637387999959</v>
      </c>
      <c r="S18" s="1">
        <v>27.5637387999959</v>
      </c>
      <c r="T18" s="1">
        <v>27.5637387999959</v>
      </c>
      <c r="U18" s="1">
        <v>28.314646499995401</v>
      </c>
      <c r="V18" s="1" t="s">
        <v>39</v>
      </c>
      <c r="W18" s="1">
        <v>0.74115660000097705</v>
      </c>
      <c r="X18" s="1" t="s">
        <v>33</v>
      </c>
      <c r="Y18" s="1" t="s">
        <v>46</v>
      </c>
      <c r="Z18" s="1">
        <v>1</v>
      </c>
      <c r="AA18" s="1" t="s">
        <v>47</v>
      </c>
      <c r="AB18" s="1" t="s">
        <v>36</v>
      </c>
      <c r="AC18" s="1"/>
      <c r="AD18" s="1" t="s">
        <v>37</v>
      </c>
      <c r="AE18" s="1">
        <v>60.020406938280097</v>
      </c>
      <c r="AF18" s="1" t="s">
        <v>48</v>
      </c>
    </row>
    <row r="19" spans="1:32" x14ac:dyDescent="0.35">
      <c r="A19" s="1">
        <v>98</v>
      </c>
      <c r="B19" s="1">
        <v>120</v>
      </c>
      <c r="C19" s="1">
        <v>230</v>
      </c>
      <c r="D19" s="1">
        <v>17</v>
      </c>
      <c r="E19" s="1">
        <v>7</v>
      </c>
      <c r="F19" s="1">
        <v>1</v>
      </c>
      <c r="G19" s="1" t="s">
        <v>32</v>
      </c>
      <c r="H19" s="1">
        <v>0.88608400000521204</v>
      </c>
      <c r="I19" s="1" t="s">
        <v>33</v>
      </c>
      <c r="J19" s="1">
        <v>1</v>
      </c>
      <c r="K19" s="1">
        <v>7</v>
      </c>
      <c r="L19" s="1">
        <v>17</v>
      </c>
      <c r="M19" s="1">
        <v>8</v>
      </c>
      <c r="N19" s="1">
        <v>28.3301508000004</v>
      </c>
      <c r="O19" s="1"/>
      <c r="P19" s="1">
        <v>28.320924499996099</v>
      </c>
      <c r="Q19" s="1">
        <v>28.3301508000004</v>
      </c>
      <c r="R19" s="1">
        <v>29.313917399995201</v>
      </c>
      <c r="S19" s="1">
        <v>29.313917399995201</v>
      </c>
      <c r="T19" s="1">
        <v>29.3305699999982</v>
      </c>
      <c r="U19" s="1">
        <v>30.2143326999939</v>
      </c>
      <c r="V19" s="1" t="s">
        <v>32</v>
      </c>
      <c r="W19" s="1">
        <v>0.88608400000521204</v>
      </c>
      <c r="X19" s="1" t="s">
        <v>33</v>
      </c>
      <c r="Y19" s="1" t="s">
        <v>46</v>
      </c>
      <c r="Z19" s="1">
        <v>1</v>
      </c>
      <c r="AA19" s="1" t="s">
        <v>47</v>
      </c>
      <c r="AB19" s="1" t="s">
        <v>36</v>
      </c>
      <c r="AC19" s="1"/>
      <c r="AD19" s="1" t="s">
        <v>37</v>
      </c>
      <c r="AE19" s="1">
        <v>60.020406938280097</v>
      </c>
      <c r="AF19" s="1" t="s">
        <v>48</v>
      </c>
    </row>
    <row r="20" spans="1:32" x14ac:dyDescent="0.35">
      <c r="A20" s="1">
        <v>78</v>
      </c>
      <c r="B20" s="1">
        <v>80</v>
      </c>
      <c r="C20" s="1">
        <v>162</v>
      </c>
      <c r="D20" s="1">
        <v>18</v>
      </c>
      <c r="E20" s="1">
        <v>8</v>
      </c>
      <c r="F20" s="1">
        <v>1</v>
      </c>
      <c r="G20" s="1" t="s">
        <v>32</v>
      </c>
      <c r="H20" s="1">
        <v>0.51695469999685795</v>
      </c>
      <c r="I20" s="1" t="s">
        <v>33</v>
      </c>
      <c r="J20" s="1">
        <v>1</v>
      </c>
      <c r="K20" s="1">
        <v>8</v>
      </c>
      <c r="L20" s="1">
        <v>18</v>
      </c>
      <c r="M20" s="1">
        <v>6</v>
      </c>
      <c r="N20" s="1">
        <v>30.229853799995901</v>
      </c>
      <c r="O20" s="1"/>
      <c r="P20" s="1">
        <v>30.219974399995401</v>
      </c>
      <c r="Q20" s="1">
        <v>30.229853799995901</v>
      </c>
      <c r="R20" s="1">
        <v>31.229820799999199</v>
      </c>
      <c r="S20" s="1">
        <v>31.229820799999199</v>
      </c>
      <c r="T20" s="1">
        <v>31.229820799999199</v>
      </c>
      <c r="U20" s="1">
        <v>31.763576400000598</v>
      </c>
      <c r="V20" s="1" t="s">
        <v>32</v>
      </c>
      <c r="W20" s="1">
        <v>0.51695469999685795</v>
      </c>
      <c r="X20" s="1" t="s">
        <v>33</v>
      </c>
      <c r="Y20" s="1" t="s">
        <v>46</v>
      </c>
      <c r="Z20" s="1">
        <v>1</v>
      </c>
      <c r="AA20" s="1" t="s">
        <v>47</v>
      </c>
      <c r="AB20" s="1" t="s">
        <v>36</v>
      </c>
      <c r="AC20" s="1"/>
      <c r="AD20" s="1" t="s">
        <v>37</v>
      </c>
      <c r="AE20" s="1">
        <v>60.020406938280097</v>
      </c>
      <c r="AF20" s="1" t="s">
        <v>48</v>
      </c>
    </row>
    <row r="21" spans="1:32" x14ac:dyDescent="0.35">
      <c r="A21" s="1">
        <v>67</v>
      </c>
      <c r="B21" s="1">
        <v>75</v>
      </c>
      <c r="C21" s="1">
        <v>119</v>
      </c>
      <c r="D21" s="1">
        <v>19</v>
      </c>
      <c r="E21" s="1">
        <v>9</v>
      </c>
      <c r="F21" s="1">
        <v>1</v>
      </c>
      <c r="G21" s="1" t="s">
        <v>32</v>
      </c>
      <c r="H21" s="1">
        <v>0.60176789999968605</v>
      </c>
      <c r="I21" s="1" t="s">
        <v>33</v>
      </c>
      <c r="J21" s="1">
        <v>1</v>
      </c>
      <c r="K21" s="1">
        <v>9</v>
      </c>
      <c r="L21" s="1">
        <v>19</v>
      </c>
      <c r="M21" s="1">
        <v>5</v>
      </c>
      <c r="N21" s="1">
        <v>31.779763899998201</v>
      </c>
      <c r="O21" s="1"/>
      <c r="P21" s="1">
        <v>31.769554599995899</v>
      </c>
      <c r="Q21" s="1">
        <v>31.779763899998201</v>
      </c>
      <c r="R21" s="1">
        <v>32.762930099997902</v>
      </c>
      <c r="S21" s="1">
        <v>32.762930099997902</v>
      </c>
      <c r="T21" s="1">
        <v>32.779560499999199</v>
      </c>
      <c r="U21" s="1">
        <v>33.380105099997301</v>
      </c>
      <c r="V21" s="1" t="s">
        <v>32</v>
      </c>
      <c r="W21" s="1">
        <v>0.60176789999968605</v>
      </c>
      <c r="X21" s="1" t="s">
        <v>33</v>
      </c>
      <c r="Y21" s="1" t="s">
        <v>46</v>
      </c>
      <c r="Z21" s="1">
        <v>1</v>
      </c>
      <c r="AA21" s="1" t="s">
        <v>47</v>
      </c>
      <c r="AB21" s="1" t="s">
        <v>36</v>
      </c>
      <c r="AC21" s="1"/>
      <c r="AD21" s="1" t="s">
        <v>37</v>
      </c>
      <c r="AE21" s="1">
        <v>60.020406938280097</v>
      </c>
      <c r="AF21" s="1" t="s">
        <v>48</v>
      </c>
    </row>
    <row r="22" spans="1:32" x14ac:dyDescent="0.35">
      <c r="A22" s="1">
        <v>49</v>
      </c>
      <c r="B22" s="1">
        <v>60</v>
      </c>
      <c r="C22" s="1">
        <v>89</v>
      </c>
      <c r="D22" s="1">
        <v>20</v>
      </c>
      <c r="E22" s="1">
        <v>0</v>
      </c>
      <c r="F22" s="1">
        <v>2</v>
      </c>
      <c r="G22" s="1" t="s">
        <v>32</v>
      </c>
      <c r="H22" s="1">
        <v>0.67787670000689104</v>
      </c>
      <c r="I22" s="1" t="s">
        <v>33</v>
      </c>
      <c r="J22" s="1">
        <v>2</v>
      </c>
      <c r="K22" s="1">
        <v>0</v>
      </c>
      <c r="L22" s="1">
        <v>20</v>
      </c>
      <c r="M22" s="1">
        <v>4</v>
      </c>
      <c r="N22" s="1">
        <v>33.396165300000497</v>
      </c>
      <c r="O22" s="1"/>
      <c r="P22" s="1">
        <v>33.386874399999201</v>
      </c>
      <c r="Q22" s="1">
        <v>33.396165300000497</v>
      </c>
      <c r="R22" s="1">
        <v>34.379250599995402</v>
      </c>
      <c r="S22" s="1">
        <v>34.379250599995402</v>
      </c>
      <c r="T22" s="1">
        <v>34.3958906999978</v>
      </c>
      <c r="U22" s="1">
        <v>35.063125499997099</v>
      </c>
      <c r="V22" s="1" t="s">
        <v>32</v>
      </c>
      <c r="W22" s="1">
        <v>0.67787670000689104</v>
      </c>
      <c r="X22" s="1" t="s">
        <v>33</v>
      </c>
      <c r="Y22" s="1" t="s">
        <v>46</v>
      </c>
      <c r="Z22" s="1">
        <v>1</v>
      </c>
      <c r="AA22" s="1" t="s">
        <v>47</v>
      </c>
      <c r="AB22" s="1" t="s">
        <v>36</v>
      </c>
      <c r="AC22" s="1"/>
      <c r="AD22" s="1" t="s">
        <v>37</v>
      </c>
      <c r="AE22" s="1">
        <v>60.020406938280097</v>
      </c>
      <c r="AF22" s="1" t="s">
        <v>48</v>
      </c>
    </row>
    <row r="23" spans="1:32" x14ac:dyDescent="0.35">
      <c r="A23" s="1">
        <v>27</v>
      </c>
      <c r="B23" s="1">
        <v>50</v>
      </c>
      <c r="C23" s="1">
        <v>21</v>
      </c>
      <c r="D23" s="1">
        <v>21</v>
      </c>
      <c r="E23" s="1">
        <v>1</v>
      </c>
      <c r="F23" s="1">
        <v>2</v>
      </c>
      <c r="G23" s="1" t="s">
        <v>32</v>
      </c>
      <c r="H23" s="1">
        <v>0.78801630000088996</v>
      </c>
      <c r="I23" s="1" t="s">
        <v>33</v>
      </c>
      <c r="J23" s="1">
        <v>2</v>
      </c>
      <c r="K23" s="1">
        <v>1</v>
      </c>
      <c r="L23" s="1">
        <v>21</v>
      </c>
      <c r="M23" s="1">
        <v>2</v>
      </c>
      <c r="N23" s="1">
        <v>35.079091699997598</v>
      </c>
      <c r="O23" s="1"/>
      <c r="P23" s="1">
        <v>35.067912799997401</v>
      </c>
      <c r="Q23" s="1">
        <v>35.079091699997598</v>
      </c>
      <c r="R23" s="1">
        <v>36.078884599999498</v>
      </c>
      <c r="S23" s="1">
        <v>36.078884599999498</v>
      </c>
      <c r="T23" s="1">
        <v>36.078884599999498</v>
      </c>
      <c r="U23" s="1">
        <v>36.879686599997498</v>
      </c>
      <c r="V23" s="1" t="s">
        <v>32</v>
      </c>
      <c r="W23" s="1">
        <v>0.78801630000088996</v>
      </c>
      <c r="X23" s="1" t="s">
        <v>33</v>
      </c>
      <c r="Y23" s="1" t="s">
        <v>46</v>
      </c>
      <c r="Z23" s="1">
        <v>1</v>
      </c>
      <c r="AA23" s="1" t="s">
        <v>47</v>
      </c>
      <c r="AB23" s="1" t="s">
        <v>36</v>
      </c>
      <c r="AC23" s="1"/>
      <c r="AD23" s="1" t="s">
        <v>37</v>
      </c>
      <c r="AE23" s="1">
        <v>60.020406938280097</v>
      </c>
      <c r="AF23" s="1" t="s">
        <v>48</v>
      </c>
    </row>
    <row r="24" spans="1:32" x14ac:dyDescent="0.35">
      <c r="A24" s="1">
        <v>67</v>
      </c>
      <c r="B24" s="1">
        <v>75</v>
      </c>
      <c r="C24" s="1">
        <v>119</v>
      </c>
      <c r="D24" s="1">
        <v>22</v>
      </c>
      <c r="E24" s="1">
        <v>2</v>
      </c>
      <c r="F24" s="1">
        <v>2</v>
      </c>
      <c r="G24" s="1" t="s">
        <v>32</v>
      </c>
      <c r="H24" s="1">
        <v>0.72324629999639001</v>
      </c>
      <c r="I24" s="1" t="s">
        <v>33</v>
      </c>
      <c r="J24" s="1">
        <v>2</v>
      </c>
      <c r="K24" s="1">
        <v>2</v>
      </c>
      <c r="L24" s="1">
        <v>22</v>
      </c>
      <c r="M24" s="1">
        <v>5</v>
      </c>
      <c r="N24" s="1">
        <v>36.912228199995297</v>
      </c>
      <c r="O24" s="1"/>
      <c r="P24" s="1">
        <v>36.889799099997603</v>
      </c>
      <c r="Q24" s="1">
        <v>36.912228199995297</v>
      </c>
      <c r="R24" s="1">
        <v>37.895464099994498</v>
      </c>
      <c r="S24" s="1">
        <v>37.895464099994498</v>
      </c>
      <c r="T24" s="1">
        <v>37.912421999993903</v>
      </c>
      <c r="U24" s="1">
        <v>38.629248400000499</v>
      </c>
      <c r="V24" s="1" t="s">
        <v>32</v>
      </c>
      <c r="W24" s="1">
        <v>0.72324629999639001</v>
      </c>
      <c r="X24" s="1" t="s">
        <v>33</v>
      </c>
      <c r="Y24" s="1" t="s">
        <v>46</v>
      </c>
      <c r="Z24" s="1">
        <v>1</v>
      </c>
      <c r="AA24" s="1" t="s">
        <v>47</v>
      </c>
      <c r="AB24" s="1" t="s">
        <v>36</v>
      </c>
      <c r="AC24" s="1"/>
      <c r="AD24" s="1" t="s">
        <v>37</v>
      </c>
      <c r="AE24" s="1">
        <v>60.020406938280097</v>
      </c>
      <c r="AF24" s="1" t="s">
        <v>48</v>
      </c>
    </row>
    <row r="25" spans="1:32" x14ac:dyDescent="0.35">
      <c r="A25" s="1">
        <v>110</v>
      </c>
      <c r="B25" s="1">
        <v>135</v>
      </c>
      <c r="C25" s="1">
        <v>270</v>
      </c>
      <c r="D25" s="1">
        <v>23</v>
      </c>
      <c r="E25" s="1">
        <v>3</v>
      </c>
      <c r="F25" s="1">
        <v>2</v>
      </c>
      <c r="G25" s="1" t="s">
        <v>32</v>
      </c>
      <c r="H25" s="1">
        <v>1.8058292999994501</v>
      </c>
      <c r="I25" s="1" t="s">
        <v>33</v>
      </c>
      <c r="J25" s="1">
        <v>2</v>
      </c>
      <c r="K25" s="1">
        <v>3</v>
      </c>
      <c r="L25" s="1">
        <v>23</v>
      </c>
      <c r="M25" s="1">
        <v>9</v>
      </c>
      <c r="N25" s="1">
        <v>38.645303099998202</v>
      </c>
      <c r="O25" s="1"/>
      <c r="P25" s="1">
        <v>38.634955699999402</v>
      </c>
      <c r="Q25" s="1">
        <v>38.645303099998202</v>
      </c>
      <c r="R25" s="1">
        <v>39.628428699994402</v>
      </c>
      <c r="S25" s="1">
        <v>39.628428699994402</v>
      </c>
      <c r="T25" s="1">
        <v>39.645095100000603</v>
      </c>
      <c r="U25" s="1">
        <v>41.445497499997103</v>
      </c>
      <c r="V25" s="1" t="s">
        <v>32</v>
      </c>
      <c r="W25" s="1">
        <v>1.8058292999994501</v>
      </c>
      <c r="X25" s="1" t="s">
        <v>33</v>
      </c>
      <c r="Y25" s="1" t="s">
        <v>46</v>
      </c>
      <c r="Z25" s="1">
        <v>1</v>
      </c>
      <c r="AA25" s="1" t="s">
        <v>47</v>
      </c>
      <c r="AB25" s="1" t="s">
        <v>36</v>
      </c>
      <c r="AC25" s="1"/>
      <c r="AD25" s="1" t="s">
        <v>37</v>
      </c>
      <c r="AE25" s="1">
        <v>60.020406938280097</v>
      </c>
      <c r="AF25" s="1" t="s">
        <v>48</v>
      </c>
    </row>
    <row r="26" spans="1:32" x14ac:dyDescent="0.35">
      <c r="A26" s="1">
        <v>11</v>
      </c>
      <c r="B26" s="1">
        <v>30</v>
      </c>
      <c r="C26" s="1">
        <v>7</v>
      </c>
      <c r="D26" s="1">
        <v>24</v>
      </c>
      <c r="E26" s="1">
        <v>4</v>
      </c>
      <c r="F26" s="1">
        <v>2</v>
      </c>
      <c r="G26" s="1" t="s">
        <v>39</v>
      </c>
      <c r="H26" s="1">
        <v>0.79670210000040198</v>
      </c>
      <c r="I26" s="1" t="s">
        <v>33</v>
      </c>
      <c r="J26" s="1">
        <v>2</v>
      </c>
      <c r="K26" s="1">
        <v>4</v>
      </c>
      <c r="L26" s="1">
        <v>24</v>
      </c>
      <c r="M26" s="1">
        <v>0</v>
      </c>
      <c r="N26" s="1">
        <v>41.461532999994198</v>
      </c>
      <c r="O26" s="1"/>
      <c r="P26" s="1">
        <v>41.4501629000005</v>
      </c>
      <c r="Q26" s="1">
        <v>41.461532999994198</v>
      </c>
      <c r="R26" s="1">
        <v>42.4446271999986</v>
      </c>
      <c r="S26" s="1">
        <v>42.4446271999986</v>
      </c>
      <c r="T26" s="1">
        <v>42.461404299996502</v>
      </c>
      <c r="U26" s="1">
        <v>43.245309999998398</v>
      </c>
      <c r="V26" s="1" t="s">
        <v>39</v>
      </c>
      <c r="W26" s="1">
        <v>0.79670210000040198</v>
      </c>
      <c r="X26" s="1" t="s">
        <v>33</v>
      </c>
      <c r="Y26" s="1" t="s">
        <v>46</v>
      </c>
      <c r="Z26" s="1">
        <v>1</v>
      </c>
      <c r="AA26" s="1" t="s">
        <v>47</v>
      </c>
      <c r="AB26" s="1" t="s">
        <v>36</v>
      </c>
      <c r="AC26" s="1"/>
      <c r="AD26" s="1" t="s">
        <v>37</v>
      </c>
      <c r="AE26" s="1">
        <v>60.020406938280097</v>
      </c>
      <c r="AF26" s="1" t="s">
        <v>48</v>
      </c>
    </row>
    <row r="27" spans="1:32" x14ac:dyDescent="0.35">
      <c r="A27" s="1">
        <v>40</v>
      </c>
      <c r="B27" s="1">
        <v>55</v>
      </c>
      <c r="C27" s="1">
        <v>62</v>
      </c>
      <c r="D27" s="1">
        <v>25</v>
      </c>
      <c r="E27" s="1">
        <v>5</v>
      </c>
      <c r="F27" s="1">
        <v>2</v>
      </c>
      <c r="G27" s="1" t="s">
        <v>32</v>
      </c>
      <c r="H27" s="1">
        <v>3.6622550000029102</v>
      </c>
      <c r="I27" s="1" t="s">
        <v>33</v>
      </c>
      <c r="J27" s="1">
        <v>2</v>
      </c>
      <c r="K27" s="1">
        <v>5</v>
      </c>
      <c r="L27" s="1">
        <v>25</v>
      </c>
      <c r="M27" s="1">
        <v>3</v>
      </c>
      <c r="N27" s="1">
        <v>43.261147699995398</v>
      </c>
      <c r="O27" s="1"/>
      <c r="P27" s="1">
        <v>43.2517360999991</v>
      </c>
      <c r="Q27" s="1">
        <v>43.261147699995398</v>
      </c>
      <c r="R27" s="1">
        <v>44.261039099998001</v>
      </c>
      <c r="S27" s="1">
        <v>44.261039099998001</v>
      </c>
      <c r="T27" s="1">
        <v>44.261039099998001</v>
      </c>
      <c r="U27" s="1">
        <v>47.927700399995899</v>
      </c>
      <c r="V27" s="1" t="s">
        <v>32</v>
      </c>
      <c r="W27" s="1">
        <v>3.6622550000029102</v>
      </c>
      <c r="X27" s="1" t="s">
        <v>33</v>
      </c>
      <c r="Y27" s="1" t="s">
        <v>46</v>
      </c>
      <c r="Z27" s="1">
        <v>1</v>
      </c>
      <c r="AA27" s="1" t="s">
        <v>47</v>
      </c>
      <c r="AB27" s="1" t="s">
        <v>36</v>
      </c>
      <c r="AC27" s="1"/>
      <c r="AD27" s="1" t="s">
        <v>37</v>
      </c>
      <c r="AE27" s="1">
        <v>60.020406938280097</v>
      </c>
      <c r="AF27" s="1" t="s">
        <v>48</v>
      </c>
    </row>
    <row r="28" spans="1:32" x14ac:dyDescent="0.35">
      <c r="A28" s="1">
        <v>78</v>
      </c>
      <c r="B28" s="1">
        <v>80</v>
      </c>
      <c r="C28" s="1">
        <v>162</v>
      </c>
      <c r="D28" s="1">
        <v>26</v>
      </c>
      <c r="E28" s="1">
        <v>6</v>
      </c>
      <c r="F28" s="1">
        <v>2</v>
      </c>
      <c r="G28" s="1" t="s">
        <v>32</v>
      </c>
      <c r="H28" s="1">
        <v>0.57167399999889301</v>
      </c>
      <c r="I28" s="1" t="s">
        <v>33</v>
      </c>
      <c r="J28" s="1">
        <v>2</v>
      </c>
      <c r="K28" s="1">
        <v>6</v>
      </c>
      <c r="L28" s="1">
        <v>26</v>
      </c>
      <c r="M28" s="1">
        <v>6</v>
      </c>
      <c r="N28" s="1">
        <v>47.9435836999982</v>
      </c>
      <c r="O28" s="1"/>
      <c r="P28" s="1">
        <v>47.934267099997598</v>
      </c>
      <c r="Q28" s="1">
        <v>47.9435836999982</v>
      </c>
      <c r="R28" s="1">
        <v>48.926735999993902</v>
      </c>
      <c r="S28" s="1">
        <v>48.926735999993902</v>
      </c>
      <c r="T28" s="1">
        <v>48.943511299999898</v>
      </c>
      <c r="U28" s="1">
        <v>49.5112459999945</v>
      </c>
      <c r="V28" s="1" t="s">
        <v>32</v>
      </c>
      <c r="W28" s="1">
        <v>0.57167399999889301</v>
      </c>
      <c r="X28" s="1" t="s">
        <v>33</v>
      </c>
      <c r="Y28" s="1" t="s">
        <v>46</v>
      </c>
      <c r="Z28" s="1">
        <v>1</v>
      </c>
      <c r="AA28" s="1" t="s">
        <v>47</v>
      </c>
      <c r="AB28" s="1" t="s">
        <v>36</v>
      </c>
      <c r="AC28" s="1"/>
      <c r="AD28" s="1" t="s">
        <v>37</v>
      </c>
      <c r="AE28" s="1">
        <v>60.020406938280097</v>
      </c>
      <c r="AF28" s="1" t="s">
        <v>48</v>
      </c>
    </row>
    <row r="29" spans="1:32" x14ac:dyDescent="0.35">
      <c r="A29" s="1">
        <v>98</v>
      </c>
      <c r="B29" s="1">
        <v>120</v>
      </c>
      <c r="C29" s="1">
        <v>230</v>
      </c>
      <c r="D29" s="1">
        <v>27</v>
      </c>
      <c r="E29" s="1">
        <v>7</v>
      </c>
      <c r="F29" s="1">
        <v>2</v>
      </c>
      <c r="G29" s="1" t="s">
        <v>32</v>
      </c>
      <c r="H29" s="1">
        <v>0.436339400002907</v>
      </c>
      <c r="I29" s="1" t="s">
        <v>33</v>
      </c>
      <c r="J29" s="1">
        <v>2</v>
      </c>
      <c r="K29" s="1">
        <v>7</v>
      </c>
      <c r="L29" s="1">
        <v>27</v>
      </c>
      <c r="M29" s="1">
        <v>8</v>
      </c>
      <c r="N29" s="1">
        <v>49.526751599994803</v>
      </c>
      <c r="O29" s="1"/>
      <c r="P29" s="1">
        <v>49.519830899996997</v>
      </c>
      <c r="Q29" s="1">
        <v>49.526751599994803</v>
      </c>
      <c r="R29" s="1">
        <v>50.526639899995601</v>
      </c>
      <c r="S29" s="1">
        <v>50.526639899995601</v>
      </c>
      <c r="T29" s="1">
        <v>50.526639899995601</v>
      </c>
      <c r="U29" s="1">
        <v>50.9780792999954</v>
      </c>
      <c r="V29" s="1" t="s">
        <v>32</v>
      </c>
      <c r="W29" s="1">
        <v>0.436339400002907</v>
      </c>
      <c r="X29" s="1" t="s">
        <v>33</v>
      </c>
      <c r="Y29" s="1" t="s">
        <v>46</v>
      </c>
      <c r="Z29" s="1">
        <v>1</v>
      </c>
      <c r="AA29" s="1" t="s">
        <v>47</v>
      </c>
      <c r="AB29" s="1" t="s">
        <v>36</v>
      </c>
      <c r="AC29" s="1"/>
      <c r="AD29" s="1" t="s">
        <v>37</v>
      </c>
      <c r="AE29" s="1">
        <v>60.020406938280097</v>
      </c>
      <c r="AF29" s="1" t="s">
        <v>48</v>
      </c>
    </row>
    <row r="30" spans="1:32" x14ac:dyDescent="0.35">
      <c r="A30" s="1">
        <v>15</v>
      </c>
      <c r="B30" s="1">
        <v>35</v>
      </c>
      <c r="C30" s="1">
        <v>13</v>
      </c>
      <c r="D30" s="1">
        <v>28</v>
      </c>
      <c r="E30" s="1">
        <v>8</v>
      </c>
      <c r="F30" s="1">
        <v>2</v>
      </c>
      <c r="G30" s="1" t="s">
        <v>39</v>
      </c>
      <c r="H30" s="1">
        <v>0.66334099999949103</v>
      </c>
      <c r="I30" s="1" t="s">
        <v>33</v>
      </c>
      <c r="J30" s="1">
        <v>2</v>
      </c>
      <c r="K30" s="1">
        <v>8</v>
      </c>
      <c r="L30" s="1">
        <v>28</v>
      </c>
      <c r="M30" s="1">
        <v>1</v>
      </c>
      <c r="N30" s="1">
        <v>50.993991299998001</v>
      </c>
      <c r="O30" s="1"/>
      <c r="P30" s="1">
        <v>50.982568599996704</v>
      </c>
      <c r="Q30" s="1">
        <v>50.993991299998001</v>
      </c>
      <c r="R30" s="1">
        <v>51.9938104999964</v>
      </c>
      <c r="S30" s="1">
        <v>51.9938104999964</v>
      </c>
      <c r="T30" s="1">
        <v>52.009820200000803</v>
      </c>
      <c r="U30" s="1">
        <v>52.660210699999801</v>
      </c>
      <c r="V30" s="1" t="s">
        <v>39</v>
      </c>
      <c r="W30" s="1">
        <v>0.66334099999949103</v>
      </c>
      <c r="X30" s="1" t="s">
        <v>33</v>
      </c>
      <c r="Y30" s="1" t="s">
        <v>46</v>
      </c>
      <c r="Z30" s="1">
        <v>1</v>
      </c>
      <c r="AA30" s="1" t="s">
        <v>47</v>
      </c>
      <c r="AB30" s="1" t="s">
        <v>36</v>
      </c>
      <c r="AC30" s="1"/>
      <c r="AD30" s="1" t="s">
        <v>37</v>
      </c>
      <c r="AE30" s="1">
        <v>60.020406938280097</v>
      </c>
      <c r="AF30" s="1" t="s">
        <v>48</v>
      </c>
    </row>
    <row r="31" spans="1:32" x14ac:dyDescent="0.35">
      <c r="A31" s="1">
        <v>88</v>
      </c>
      <c r="B31" s="1">
        <v>105</v>
      </c>
      <c r="C31" s="1">
        <v>200</v>
      </c>
      <c r="D31" s="1">
        <v>29</v>
      </c>
      <c r="E31" s="1">
        <v>9</v>
      </c>
      <c r="F31" s="1">
        <v>2</v>
      </c>
      <c r="G31" s="1" t="s">
        <v>32</v>
      </c>
      <c r="H31" s="1">
        <v>0.492557300000044</v>
      </c>
      <c r="I31" s="1" t="s">
        <v>33</v>
      </c>
      <c r="J31" s="1">
        <v>2</v>
      </c>
      <c r="K31" s="1">
        <v>9</v>
      </c>
      <c r="L31" s="1">
        <v>29</v>
      </c>
      <c r="M31" s="1">
        <v>7</v>
      </c>
      <c r="N31" s="1">
        <v>52.6930672999951</v>
      </c>
      <c r="O31" s="1"/>
      <c r="P31" s="1">
        <v>52.6681901999982</v>
      </c>
      <c r="Q31" s="1">
        <v>52.6930672999951</v>
      </c>
      <c r="R31" s="1">
        <v>53.6598071999978</v>
      </c>
      <c r="S31" s="1">
        <v>53.6598071999978</v>
      </c>
      <c r="T31" s="1">
        <v>53.692903299997802</v>
      </c>
      <c r="U31" s="1">
        <v>54.160314900000202</v>
      </c>
      <c r="V31" s="1" t="s">
        <v>32</v>
      </c>
      <c r="W31" s="1">
        <v>0.492557300000044</v>
      </c>
      <c r="X31" s="1" t="s">
        <v>33</v>
      </c>
      <c r="Y31" s="1" t="s">
        <v>46</v>
      </c>
      <c r="Z31" s="1">
        <v>1</v>
      </c>
      <c r="AA31" s="1" t="s">
        <v>47</v>
      </c>
      <c r="AB31" s="1" t="s">
        <v>36</v>
      </c>
      <c r="AC31" s="1"/>
      <c r="AD31" s="1" t="s">
        <v>37</v>
      </c>
      <c r="AE31" s="1">
        <v>60.020406938280097</v>
      </c>
      <c r="AF31" s="1" t="s">
        <v>48</v>
      </c>
    </row>
    <row r="32" spans="1:32" x14ac:dyDescent="0.35">
      <c r="A32" s="1">
        <v>88</v>
      </c>
      <c r="B32" s="1">
        <v>105</v>
      </c>
      <c r="C32" s="1">
        <v>200</v>
      </c>
      <c r="D32" s="1">
        <v>30</v>
      </c>
      <c r="E32" s="1">
        <v>0</v>
      </c>
      <c r="F32" s="1">
        <v>3</v>
      </c>
      <c r="G32" s="1" t="s">
        <v>32</v>
      </c>
      <c r="H32" s="1">
        <v>0.38846699999703499</v>
      </c>
      <c r="I32" s="1" t="s">
        <v>33</v>
      </c>
      <c r="J32" s="1">
        <v>3</v>
      </c>
      <c r="K32" s="1">
        <v>0</v>
      </c>
      <c r="L32" s="1">
        <v>30</v>
      </c>
      <c r="M32" s="1">
        <v>7</v>
      </c>
      <c r="N32" s="1">
        <v>54.176227799995097</v>
      </c>
      <c r="O32" s="1"/>
      <c r="P32" s="1">
        <v>54.1606887999951</v>
      </c>
      <c r="Q32" s="1">
        <v>54.176227799995097</v>
      </c>
      <c r="R32" s="1">
        <v>55.175830699998102</v>
      </c>
      <c r="S32" s="1">
        <v>55.175830699998102</v>
      </c>
      <c r="T32" s="1">
        <v>55.175830699998102</v>
      </c>
      <c r="U32" s="1">
        <v>55.576504199998404</v>
      </c>
      <c r="V32" s="1" t="s">
        <v>32</v>
      </c>
      <c r="W32" s="1">
        <v>0.38846699999703499</v>
      </c>
      <c r="X32" s="1" t="s">
        <v>33</v>
      </c>
      <c r="Y32" s="1" t="s">
        <v>46</v>
      </c>
      <c r="Z32" s="1">
        <v>1</v>
      </c>
      <c r="AA32" s="1" t="s">
        <v>47</v>
      </c>
      <c r="AB32" s="1" t="s">
        <v>36</v>
      </c>
      <c r="AC32" s="1"/>
      <c r="AD32" s="1" t="s">
        <v>37</v>
      </c>
      <c r="AE32" s="1">
        <v>60.020406938280097</v>
      </c>
      <c r="AF32" s="1" t="s">
        <v>48</v>
      </c>
    </row>
    <row r="33" spans="1:32" x14ac:dyDescent="0.35">
      <c r="A33" s="1">
        <v>110</v>
      </c>
      <c r="B33" s="1">
        <v>135</v>
      </c>
      <c r="C33" s="1">
        <v>270</v>
      </c>
      <c r="D33" s="1">
        <v>31</v>
      </c>
      <c r="E33" s="1">
        <v>1</v>
      </c>
      <c r="F33" s="1">
        <v>3</v>
      </c>
      <c r="G33" s="1" t="s">
        <v>32</v>
      </c>
      <c r="H33" s="1">
        <v>0.57102210000448395</v>
      </c>
      <c r="I33" s="1" t="s">
        <v>33</v>
      </c>
      <c r="J33" s="1">
        <v>3</v>
      </c>
      <c r="K33" s="1">
        <v>1</v>
      </c>
      <c r="L33" s="1">
        <v>31</v>
      </c>
      <c r="M33" s="1">
        <v>9</v>
      </c>
      <c r="N33" s="1">
        <v>55.592579699994502</v>
      </c>
      <c r="O33" s="1"/>
      <c r="P33" s="1">
        <v>55.582880399997499</v>
      </c>
      <c r="Q33" s="1">
        <v>55.592579699994502</v>
      </c>
      <c r="R33" s="1">
        <v>56.592163599998401</v>
      </c>
      <c r="S33" s="1">
        <v>56.592163599998401</v>
      </c>
      <c r="T33" s="1">
        <v>56.592163599998401</v>
      </c>
      <c r="U33" s="1">
        <v>57.176499299996003</v>
      </c>
      <c r="V33" s="1" t="s">
        <v>32</v>
      </c>
      <c r="W33" s="1">
        <v>0.57102210000448395</v>
      </c>
      <c r="X33" s="1" t="s">
        <v>33</v>
      </c>
      <c r="Y33" s="1" t="s">
        <v>46</v>
      </c>
      <c r="Z33" s="1">
        <v>1</v>
      </c>
      <c r="AA33" s="1" t="s">
        <v>47</v>
      </c>
      <c r="AB33" s="1" t="s">
        <v>36</v>
      </c>
      <c r="AC33" s="1"/>
      <c r="AD33" s="1" t="s">
        <v>37</v>
      </c>
      <c r="AE33" s="1">
        <v>60.020406938280097</v>
      </c>
      <c r="AF33" s="1" t="s">
        <v>48</v>
      </c>
    </row>
    <row r="34" spans="1:32" x14ac:dyDescent="0.35">
      <c r="A34" s="1">
        <v>67</v>
      </c>
      <c r="B34" s="1">
        <v>75</v>
      </c>
      <c r="C34" s="1">
        <v>119</v>
      </c>
      <c r="D34" s="1">
        <v>32</v>
      </c>
      <c r="E34" s="1">
        <v>2</v>
      </c>
      <c r="F34" s="1">
        <v>3</v>
      </c>
      <c r="G34" s="1" t="s">
        <v>32</v>
      </c>
      <c r="H34" s="1">
        <v>0.57945589999872005</v>
      </c>
      <c r="I34" s="1" t="s">
        <v>33</v>
      </c>
      <c r="J34" s="1">
        <v>3</v>
      </c>
      <c r="K34" s="1">
        <v>2</v>
      </c>
      <c r="L34" s="1">
        <v>32</v>
      </c>
      <c r="M34" s="1">
        <v>5</v>
      </c>
      <c r="N34" s="1">
        <v>57.192256800000898</v>
      </c>
      <c r="O34" s="1"/>
      <c r="P34" s="1">
        <v>57.183566999999996</v>
      </c>
      <c r="Q34" s="1">
        <v>57.192256800000898</v>
      </c>
      <c r="R34" s="1">
        <v>58.192071999997999</v>
      </c>
      <c r="S34" s="1">
        <v>58.192071999997999</v>
      </c>
      <c r="T34" s="1">
        <v>58.192071999997999</v>
      </c>
      <c r="U34" s="1">
        <v>58.776189999996802</v>
      </c>
      <c r="V34" s="1" t="s">
        <v>32</v>
      </c>
      <c r="W34" s="1">
        <v>0.57945589999872005</v>
      </c>
      <c r="X34" s="1" t="s">
        <v>33</v>
      </c>
      <c r="Y34" s="1" t="s">
        <v>46</v>
      </c>
      <c r="Z34" s="1">
        <v>1</v>
      </c>
      <c r="AA34" s="1" t="s">
        <v>47</v>
      </c>
      <c r="AB34" s="1" t="s">
        <v>36</v>
      </c>
      <c r="AC34" s="1"/>
      <c r="AD34" s="1" t="s">
        <v>37</v>
      </c>
      <c r="AE34" s="1">
        <v>60.020406938280097</v>
      </c>
      <c r="AF34" s="1" t="s">
        <v>48</v>
      </c>
    </row>
    <row r="35" spans="1:32" x14ac:dyDescent="0.35">
      <c r="A35" s="1">
        <v>27</v>
      </c>
      <c r="B35" s="1">
        <v>50</v>
      </c>
      <c r="C35" s="1">
        <v>21</v>
      </c>
      <c r="D35" s="1">
        <v>33</v>
      </c>
      <c r="E35" s="1">
        <v>3</v>
      </c>
      <c r="F35" s="1">
        <v>3</v>
      </c>
      <c r="G35" s="1" t="s">
        <v>32</v>
      </c>
      <c r="H35" s="1">
        <v>0.53600310000183504</v>
      </c>
      <c r="I35" s="1" t="s">
        <v>33</v>
      </c>
      <c r="J35" s="1">
        <v>3</v>
      </c>
      <c r="K35" s="1">
        <v>3</v>
      </c>
      <c r="L35" s="1">
        <v>33</v>
      </c>
      <c r="M35" s="1">
        <v>2</v>
      </c>
      <c r="N35" s="1">
        <v>58.791929699997098</v>
      </c>
      <c r="O35" s="1"/>
      <c r="P35" s="1">
        <v>58.783112599994602</v>
      </c>
      <c r="Q35" s="1">
        <v>58.791929699997098</v>
      </c>
      <c r="R35" s="1">
        <v>59.791794199998499</v>
      </c>
      <c r="S35" s="1">
        <v>59.791794199998499</v>
      </c>
      <c r="T35" s="1">
        <v>59.791794199998499</v>
      </c>
      <c r="U35" s="1">
        <v>60.342192099997099</v>
      </c>
      <c r="V35" s="1" t="s">
        <v>32</v>
      </c>
      <c r="W35" s="1">
        <v>0.53600310000183504</v>
      </c>
      <c r="X35" s="1" t="s">
        <v>33</v>
      </c>
      <c r="Y35" s="1" t="s">
        <v>46</v>
      </c>
      <c r="Z35" s="1">
        <v>1</v>
      </c>
      <c r="AA35" s="1" t="s">
        <v>47</v>
      </c>
      <c r="AB35" s="1" t="s">
        <v>36</v>
      </c>
      <c r="AC35" s="1"/>
      <c r="AD35" s="1" t="s">
        <v>37</v>
      </c>
      <c r="AE35" s="1">
        <v>60.020406938280097</v>
      </c>
      <c r="AF35" s="1" t="s">
        <v>48</v>
      </c>
    </row>
    <row r="36" spans="1:32" x14ac:dyDescent="0.35">
      <c r="A36" s="1">
        <v>11</v>
      </c>
      <c r="B36" s="1">
        <v>30</v>
      </c>
      <c r="C36" s="1">
        <v>7</v>
      </c>
      <c r="D36" s="1">
        <v>34</v>
      </c>
      <c r="E36" s="1">
        <v>4</v>
      </c>
      <c r="F36" s="1">
        <v>3</v>
      </c>
      <c r="G36" s="1" t="s">
        <v>39</v>
      </c>
      <c r="H36" s="1">
        <v>0.60726350000186302</v>
      </c>
      <c r="I36" s="1" t="s">
        <v>33</v>
      </c>
      <c r="J36" s="1">
        <v>3</v>
      </c>
      <c r="K36" s="1">
        <v>4</v>
      </c>
      <c r="L36" s="1">
        <v>34</v>
      </c>
      <c r="M36" s="1">
        <v>0</v>
      </c>
      <c r="N36" s="1">
        <v>60.358112099995097</v>
      </c>
      <c r="O36" s="1"/>
      <c r="P36" s="1">
        <v>60.347712999995501</v>
      </c>
      <c r="Q36" s="1">
        <v>60.358112099995097</v>
      </c>
      <c r="R36" s="1">
        <v>61.341352999996097</v>
      </c>
      <c r="S36" s="1">
        <v>61.341352999996097</v>
      </c>
      <c r="T36" s="1">
        <v>61.358236499996501</v>
      </c>
      <c r="U36" s="1">
        <v>61.958761299996603</v>
      </c>
      <c r="V36" s="1" t="s">
        <v>39</v>
      </c>
      <c r="W36" s="1">
        <v>0.60726350000186302</v>
      </c>
      <c r="X36" s="1" t="s">
        <v>33</v>
      </c>
      <c r="Y36" s="1" t="s">
        <v>46</v>
      </c>
      <c r="Z36" s="1">
        <v>1</v>
      </c>
      <c r="AA36" s="1" t="s">
        <v>47</v>
      </c>
      <c r="AB36" s="1" t="s">
        <v>36</v>
      </c>
      <c r="AC36" s="1"/>
      <c r="AD36" s="1" t="s">
        <v>37</v>
      </c>
      <c r="AE36" s="1">
        <v>60.020406938280097</v>
      </c>
      <c r="AF36" s="1" t="s">
        <v>48</v>
      </c>
    </row>
    <row r="37" spans="1:32" x14ac:dyDescent="0.35">
      <c r="A37" s="1">
        <v>40</v>
      </c>
      <c r="B37" s="1">
        <v>55</v>
      </c>
      <c r="C37" s="1">
        <v>62</v>
      </c>
      <c r="D37" s="1">
        <v>35</v>
      </c>
      <c r="E37" s="1">
        <v>5</v>
      </c>
      <c r="F37" s="1">
        <v>3</v>
      </c>
      <c r="G37" s="1" t="s">
        <v>32</v>
      </c>
      <c r="H37" s="1">
        <v>0.52064029999746697</v>
      </c>
      <c r="I37" s="1" t="s">
        <v>33</v>
      </c>
      <c r="J37" s="1">
        <v>3</v>
      </c>
      <c r="K37" s="1">
        <v>5</v>
      </c>
      <c r="L37" s="1">
        <v>35</v>
      </c>
      <c r="M37" s="1">
        <v>3</v>
      </c>
      <c r="N37" s="1">
        <v>61.974769799999102</v>
      </c>
      <c r="O37" s="1"/>
      <c r="P37" s="1">
        <v>61.964192799998202</v>
      </c>
      <c r="Q37" s="1">
        <v>61.974769799999102</v>
      </c>
      <c r="R37" s="1">
        <v>62.957948299997902</v>
      </c>
      <c r="S37" s="1">
        <v>62.957948299997902</v>
      </c>
      <c r="T37" s="1">
        <v>62.974607199997898</v>
      </c>
      <c r="U37" s="1">
        <v>63.491720899997702</v>
      </c>
      <c r="V37" s="1" t="s">
        <v>32</v>
      </c>
      <c r="W37" s="1">
        <v>0.52064029999746697</v>
      </c>
      <c r="X37" s="1" t="s">
        <v>33</v>
      </c>
      <c r="Y37" s="1" t="s">
        <v>46</v>
      </c>
      <c r="Z37" s="1">
        <v>1</v>
      </c>
      <c r="AA37" s="1" t="s">
        <v>47</v>
      </c>
      <c r="AB37" s="1" t="s">
        <v>36</v>
      </c>
      <c r="AC37" s="1"/>
      <c r="AD37" s="1" t="s">
        <v>37</v>
      </c>
      <c r="AE37" s="1">
        <v>60.020406938280097</v>
      </c>
      <c r="AF37" s="1" t="s">
        <v>48</v>
      </c>
    </row>
    <row r="38" spans="1:32" x14ac:dyDescent="0.35">
      <c r="A38" s="1">
        <v>49</v>
      </c>
      <c r="B38" s="1">
        <v>60</v>
      </c>
      <c r="C38" s="1">
        <v>89</v>
      </c>
      <c r="D38" s="1">
        <v>36</v>
      </c>
      <c r="E38" s="1">
        <v>6</v>
      </c>
      <c r="F38" s="1">
        <v>3</v>
      </c>
      <c r="G38" s="1" t="s">
        <v>32</v>
      </c>
      <c r="H38" s="1">
        <v>0.40062809999653798</v>
      </c>
      <c r="I38" s="1" t="s">
        <v>33</v>
      </c>
      <c r="J38" s="1">
        <v>3</v>
      </c>
      <c r="K38" s="1">
        <v>6</v>
      </c>
      <c r="L38" s="1">
        <v>36</v>
      </c>
      <c r="M38" s="1">
        <v>4</v>
      </c>
      <c r="N38" s="1">
        <v>63.507846099993898</v>
      </c>
      <c r="O38" s="1"/>
      <c r="P38" s="1">
        <v>63.496189899997198</v>
      </c>
      <c r="Q38" s="1">
        <v>63.507846099993898</v>
      </c>
      <c r="R38" s="1">
        <v>64.491156199997903</v>
      </c>
      <c r="S38" s="1">
        <v>64.491156199997903</v>
      </c>
      <c r="T38" s="1">
        <v>64.507626200000203</v>
      </c>
      <c r="U38" s="1">
        <v>64.908376499995896</v>
      </c>
      <c r="V38" s="1" t="s">
        <v>32</v>
      </c>
      <c r="W38" s="1">
        <v>0.40062809999653798</v>
      </c>
      <c r="X38" s="1" t="s">
        <v>33</v>
      </c>
      <c r="Y38" s="1" t="s">
        <v>46</v>
      </c>
      <c r="Z38" s="1">
        <v>1</v>
      </c>
      <c r="AA38" s="1" t="s">
        <v>47</v>
      </c>
      <c r="AB38" s="1" t="s">
        <v>36</v>
      </c>
      <c r="AC38" s="1"/>
      <c r="AD38" s="1" t="s">
        <v>37</v>
      </c>
      <c r="AE38" s="1">
        <v>60.020406938280097</v>
      </c>
      <c r="AF38" s="1" t="s">
        <v>48</v>
      </c>
    </row>
    <row r="39" spans="1:32" x14ac:dyDescent="0.35">
      <c r="A39" s="1">
        <v>15</v>
      </c>
      <c r="B39" s="1">
        <v>35</v>
      </c>
      <c r="C39" s="1">
        <v>13</v>
      </c>
      <c r="D39" s="1">
        <v>37</v>
      </c>
      <c r="E39" s="1">
        <v>7</v>
      </c>
      <c r="F39" s="1">
        <v>3</v>
      </c>
      <c r="G39" s="1" t="s">
        <v>39</v>
      </c>
      <c r="H39" s="1">
        <v>1.45067649999691</v>
      </c>
      <c r="I39" s="1" t="s">
        <v>33</v>
      </c>
      <c r="J39" s="1">
        <v>3</v>
      </c>
      <c r="K39" s="1">
        <v>7</v>
      </c>
      <c r="L39" s="1">
        <v>37</v>
      </c>
      <c r="M39" s="1">
        <v>1</v>
      </c>
      <c r="N39" s="1">
        <v>64.924490799996406</v>
      </c>
      <c r="O39" s="1"/>
      <c r="P39" s="1">
        <v>64.916448299998507</v>
      </c>
      <c r="Q39" s="1">
        <v>64.924490799996406</v>
      </c>
      <c r="R39" s="1">
        <v>65.924093599998699</v>
      </c>
      <c r="S39" s="1">
        <v>65.924093599998699</v>
      </c>
      <c r="T39" s="1">
        <v>65.924093599998699</v>
      </c>
      <c r="U39" s="1">
        <v>67.391039099995396</v>
      </c>
      <c r="V39" s="1" t="s">
        <v>39</v>
      </c>
      <c r="W39" s="1">
        <v>1.45067649999691</v>
      </c>
      <c r="X39" s="1" t="s">
        <v>33</v>
      </c>
      <c r="Y39" s="1" t="s">
        <v>46</v>
      </c>
      <c r="Z39" s="1">
        <v>1</v>
      </c>
      <c r="AA39" s="1" t="s">
        <v>47</v>
      </c>
      <c r="AB39" s="1" t="s">
        <v>36</v>
      </c>
      <c r="AC39" s="1"/>
      <c r="AD39" s="1" t="s">
        <v>37</v>
      </c>
      <c r="AE39" s="1">
        <v>60.020406938280097</v>
      </c>
      <c r="AF39" s="1" t="s">
        <v>48</v>
      </c>
    </row>
    <row r="40" spans="1:32" x14ac:dyDescent="0.35">
      <c r="A40" s="1">
        <v>98</v>
      </c>
      <c r="B40" s="1">
        <v>120</v>
      </c>
      <c r="C40" s="1">
        <v>230</v>
      </c>
      <c r="D40" s="1">
        <v>38</v>
      </c>
      <c r="E40" s="1">
        <v>8</v>
      </c>
      <c r="F40" s="1">
        <v>3</v>
      </c>
      <c r="G40" s="1" t="s">
        <v>32</v>
      </c>
      <c r="H40" s="1">
        <v>0.55615780000516601</v>
      </c>
      <c r="I40" s="1" t="s">
        <v>33</v>
      </c>
      <c r="J40" s="1">
        <v>3</v>
      </c>
      <c r="K40" s="1">
        <v>8</v>
      </c>
      <c r="L40" s="1">
        <v>38</v>
      </c>
      <c r="M40" s="1">
        <v>8</v>
      </c>
      <c r="N40" s="1">
        <v>67.407011399998694</v>
      </c>
      <c r="O40" s="1"/>
      <c r="P40" s="1">
        <v>67.397630799998296</v>
      </c>
      <c r="Q40" s="1">
        <v>67.407011399998694</v>
      </c>
      <c r="R40" s="1">
        <v>68.390242800000095</v>
      </c>
      <c r="S40" s="1">
        <v>68.390242800000095</v>
      </c>
      <c r="T40" s="1">
        <v>68.407092199995503</v>
      </c>
      <c r="U40" s="1">
        <v>68.957791399996495</v>
      </c>
      <c r="V40" s="1" t="s">
        <v>32</v>
      </c>
      <c r="W40" s="1">
        <v>0.55615780000516601</v>
      </c>
      <c r="X40" s="1" t="s">
        <v>33</v>
      </c>
      <c r="Y40" s="1" t="s">
        <v>46</v>
      </c>
      <c r="Z40" s="1">
        <v>1</v>
      </c>
      <c r="AA40" s="1" t="s">
        <v>47</v>
      </c>
      <c r="AB40" s="1" t="s">
        <v>36</v>
      </c>
      <c r="AC40" s="1"/>
      <c r="AD40" s="1" t="s">
        <v>37</v>
      </c>
      <c r="AE40" s="1">
        <v>60.020406938280097</v>
      </c>
      <c r="AF40" s="1" t="s">
        <v>48</v>
      </c>
    </row>
    <row r="41" spans="1:32" x14ac:dyDescent="0.35">
      <c r="A41" s="1">
        <v>78</v>
      </c>
      <c r="B41" s="1">
        <v>80</v>
      </c>
      <c r="C41" s="1">
        <v>162</v>
      </c>
      <c r="D41" s="1">
        <v>39</v>
      </c>
      <c r="E41" s="1">
        <v>9</v>
      </c>
      <c r="F41" s="1">
        <v>3</v>
      </c>
      <c r="G41" s="1" t="s">
        <v>32</v>
      </c>
      <c r="H41" s="1">
        <v>0.65508370000315996</v>
      </c>
      <c r="I41" s="1" t="s">
        <v>33</v>
      </c>
      <c r="J41" s="1">
        <v>3</v>
      </c>
      <c r="K41" s="1">
        <v>9</v>
      </c>
      <c r="L41" s="1">
        <v>39</v>
      </c>
      <c r="M41" s="1">
        <v>6</v>
      </c>
      <c r="N41" s="1">
        <v>68.973773799996707</v>
      </c>
      <c r="O41" s="1"/>
      <c r="P41" s="1">
        <v>68.963416599995895</v>
      </c>
      <c r="Q41" s="1">
        <v>68.973773799996707</v>
      </c>
      <c r="R41" s="1">
        <v>69.973473999998504</v>
      </c>
      <c r="S41" s="1">
        <v>69.973473999998504</v>
      </c>
      <c r="T41" s="1">
        <v>69.973473999998504</v>
      </c>
      <c r="U41" s="1">
        <v>70.641197099997896</v>
      </c>
      <c r="V41" s="1" t="s">
        <v>32</v>
      </c>
      <c r="W41" s="1">
        <v>0.65508370000315996</v>
      </c>
      <c r="X41" s="1" t="s">
        <v>33</v>
      </c>
      <c r="Y41" s="1" t="s">
        <v>46</v>
      </c>
      <c r="Z41" s="1">
        <v>1</v>
      </c>
      <c r="AA41" s="1" t="s">
        <v>47</v>
      </c>
      <c r="AB41" s="1" t="s">
        <v>36</v>
      </c>
      <c r="AC41" s="1"/>
      <c r="AD41" s="1" t="s">
        <v>37</v>
      </c>
      <c r="AE41" s="1">
        <v>60.020406938280097</v>
      </c>
      <c r="AF41" s="1" t="s">
        <v>48</v>
      </c>
    </row>
    <row r="42" spans="1:32" x14ac:dyDescent="0.35">
      <c r="A42" s="1">
        <v>110</v>
      </c>
      <c r="B42" s="1">
        <v>135</v>
      </c>
      <c r="C42" s="1">
        <v>270</v>
      </c>
      <c r="D42" s="1">
        <v>40</v>
      </c>
      <c r="E42" s="1">
        <v>0</v>
      </c>
      <c r="F42" s="1">
        <v>4</v>
      </c>
      <c r="G42" s="1" t="s">
        <v>32</v>
      </c>
      <c r="H42" s="1">
        <v>0.50415059999795597</v>
      </c>
      <c r="I42" s="1" t="s">
        <v>33</v>
      </c>
      <c r="J42" s="1">
        <v>4</v>
      </c>
      <c r="K42" s="1">
        <v>0</v>
      </c>
      <c r="L42" s="1">
        <v>40</v>
      </c>
      <c r="M42" s="1">
        <v>9</v>
      </c>
      <c r="N42" s="1">
        <v>70.656677999999303</v>
      </c>
      <c r="O42" s="1"/>
      <c r="P42" s="1">
        <v>70.647118299995697</v>
      </c>
      <c r="Q42" s="1">
        <v>70.656677999999303</v>
      </c>
      <c r="R42" s="1">
        <v>71.656582699994004</v>
      </c>
      <c r="S42" s="1">
        <v>71.656582699994004</v>
      </c>
      <c r="T42" s="1">
        <v>71.656582699994004</v>
      </c>
      <c r="U42" s="1">
        <v>72.173909299999593</v>
      </c>
      <c r="V42" s="1" t="s">
        <v>32</v>
      </c>
      <c r="W42" s="1">
        <v>0.50415059999795597</v>
      </c>
      <c r="X42" s="1" t="s">
        <v>33</v>
      </c>
      <c r="Y42" s="1" t="s">
        <v>46</v>
      </c>
      <c r="Z42" s="1">
        <v>1</v>
      </c>
      <c r="AA42" s="1" t="s">
        <v>47</v>
      </c>
      <c r="AB42" s="1" t="s">
        <v>36</v>
      </c>
      <c r="AC42" s="1"/>
      <c r="AD42" s="1" t="s">
        <v>37</v>
      </c>
      <c r="AE42" s="1">
        <v>60.020406938280097</v>
      </c>
      <c r="AF42" s="1" t="s">
        <v>48</v>
      </c>
    </row>
    <row r="43" spans="1:32" x14ac:dyDescent="0.35">
      <c r="A43" s="1">
        <v>11</v>
      </c>
      <c r="B43" s="1">
        <v>30</v>
      </c>
      <c r="C43" s="1">
        <v>7</v>
      </c>
      <c r="D43" s="1">
        <v>41</v>
      </c>
      <c r="E43" s="1">
        <v>1</v>
      </c>
      <c r="F43" s="1">
        <v>4</v>
      </c>
      <c r="G43" s="1" t="s">
        <v>39</v>
      </c>
      <c r="H43" s="1">
        <v>1.7025463000027199</v>
      </c>
      <c r="I43" s="1" t="s">
        <v>33</v>
      </c>
      <c r="J43" s="1">
        <v>4</v>
      </c>
      <c r="K43" s="1">
        <v>1</v>
      </c>
      <c r="L43" s="1">
        <v>41</v>
      </c>
      <c r="M43" s="1">
        <v>0</v>
      </c>
      <c r="N43" s="1">
        <v>72.1895579999982</v>
      </c>
      <c r="O43" s="1"/>
      <c r="P43" s="1">
        <v>72.178959400000096</v>
      </c>
      <c r="Q43" s="1">
        <v>72.1895579999982</v>
      </c>
      <c r="R43" s="1">
        <v>73.1729067999986</v>
      </c>
      <c r="S43" s="1">
        <v>73.1729067999986</v>
      </c>
      <c r="T43" s="1">
        <v>73.189558799997002</v>
      </c>
      <c r="U43" s="1">
        <v>74.889980699997906</v>
      </c>
      <c r="V43" s="1" t="s">
        <v>39</v>
      </c>
      <c r="W43" s="1">
        <v>1.7025463000027199</v>
      </c>
      <c r="X43" s="1" t="s">
        <v>33</v>
      </c>
      <c r="Y43" s="1" t="s">
        <v>46</v>
      </c>
      <c r="Z43" s="1">
        <v>1</v>
      </c>
      <c r="AA43" s="1" t="s">
        <v>47</v>
      </c>
      <c r="AB43" s="1" t="s">
        <v>36</v>
      </c>
      <c r="AC43" s="1"/>
      <c r="AD43" s="1" t="s">
        <v>37</v>
      </c>
      <c r="AE43" s="1">
        <v>60.020406938280097</v>
      </c>
      <c r="AF43" s="1" t="s">
        <v>48</v>
      </c>
    </row>
    <row r="44" spans="1:32" x14ac:dyDescent="0.35">
      <c r="A44" s="1">
        <v>67</v>
      </c>
      <c r="B44" s="1">
        <v>75</v>
      </c>
      <c r="C44" s="1">
        <v>119</v>
      </c>
      <c r="D44" s="1">
        <v>42</v>
      </c>
      <c r="E44" s="1">
        <v>2</v>
      </c>
      <c r="F44" s="1">
        <v>4</v>
      </c>
      <c r="G44" s="1" t="s">
        <v>32</v>
      </c>
      <c r="H44" s="1">
        <v>0.41169520000403198</v>
      </c>
      <c r="I44" s="1" t="s">
        <v>33</v>
      </c>
      <c r="J44" s="1">
        <v>4</v>
      </c>
      <c r="K44" s="1">
        <v>2</v>
      </c>
      <c r="L44" s="1">
        <v>42</v>
      </c>
      <c r="M44" s="1">
        <v>5</v>
      </c>
      <c r="N44" s="1">
        <v>74.905864699998304</v>
      </c>
      <c r="O44" s="1"/>
      <c r="P44" s="1">
        <v>74.896174900000901</v>
      </c>
      <c r="Q44" s="1">
        <v>74.905864699998304</v>
      </c>
      <c r="R44" s="1">
        <v>75.905648599997207</v>
      </c>
      <c r="S44" s="1">
        <v>75.905648599997207</v>
      </c>
      <c r="T44" s="1">
        <v>75.905648599997207</v>
      </c>
      <c r="U44" s="1">
        <v>76.323337999994607</v>
      </c>
      <c r="V44" s="1" t="s">
        <v>32</v>
      </c>
      <c r="W44" s="1">
        <v>0.41169520000403198</v>
      </c>
      <c r="X44" s="1" t="s">
        <v>33</v>
      </c>
      <c r="Y44" s="1" t="s">
        <v>46</v>
      </c>
      <c r="Z44" s="1">
        <v>1</v>
      </c>
      <c r="AA44" s="1" t="s">
        <v>47</v>
      </c>
      <c r="AB44" s="1" t="s">
        <v>36</v>
      </c>
      <c r="AC44" s="1"/>
      <c r="AD44" s="1" t="s">
        <v>37</v>
      </c>
      <c r="AE44" s="1">
        <v>60.020406938280097</v>
      </c>
      <c r="AF44" s="1" t="s">
        <v>48</v>
      </c>
    </row>
    <row r="45" spans="1:32" x14ac:dyDescent="0.35">
      <c r="A45" s="1">
        <v>98</v>
      </c>
      <c r="B45" s="1">
        <v>120</v>
      </c>
      <c r="C45" s="1">
        <v>230</v>
      </c>
      <c r="D45" s="1">
        <v>43</v>
      </c>
      <c r="E45" s="1">
        <v>3</v>
      </c>
      <c r="F45" s="1">
        <v>4</v>
      </c>
      <c r="G45" s="1" t="s">
        <v>32</v>
      </c>
      <c r="H45" s="1">
        <v>0.52354650000052005</v>
      </c>
      <c r="I45" s="1" t="s">
        <v>33</v>
      </c>
      <c r="J45" s="1">
        <v>4</v>
      </c>
      <c r="K45" s="1">
        <v>3</v>
      </c>
      <c r="L45" s="1">
        <v>43</v>
      </c>
      <c r="M45" s="1">
        <v>8</v>
      </c>
      <c r="N45" s="1">
        <v>76.339316299999993</v>
      </c>
      <c r="O45" s="1"/>
      <c r="P45" s="1">
        <v>76.328787300000798</v>
      </c>
      <c r="Q45" s="1">
        <v>76.339316299999993</v>
      </c>
      <c r="R45" s="1">
        <v>77.338944299997806</v>
      </c>
      <c r="S45" s="1">
        <v>77.338944299997806</v>
      </c>
      <c r="T45" s="1">
        <v>77.338944299997806</v>
      </c>
      <c r="U45" s="1">
        <v>77.8728503999955</v>
      </c>
      <c r="V45" s="1" t="s">
        <v>32</v>
      </c>
      <c r="W45" s="1">
        <v>0.52354650000052005</v>
      </c>
      <c r="X45" s="1" t="s">
        <v>33</v>
      </c>
      <c r="Y45" s="1" t="s">
        <v>46</v>
      </c>
      <c r="Z45" s="1">
        <v>1</v>
      </c>
      <c r="AA45" s="1" t="s">
        <v>47</v>
      </c>
      <c r="AB45" s="1" t="s">
        <v>36</v>
      </c>
      <c r="AC45" s="1"/>
      <c r="AD45" s="1" t="s">
        <v>37</v>
      </c>
      <c r="AE45" s="1">
        <v>60.020406938280097</v>
      </c>
      <c r="AF45" s="1" t="s">
        <v>48</v>
      </c>
    </row>
    <row r="46" spans="1:32" x14ac:dyDescent="0.35">
      <c r="A46" s="1">
        <v>78</v>
      </c>
      <c r="B46" s="1">
        <v>80</v>
      </c>
      <c r="C46" s="1">
        <v>162</v>
      </c>
      <c r="D46" s="1">
        <v>44</v>
      </c>
      <c r="E46" s="1">
        <v>4</v>
      </c>
      <c r="F46" s="1">
        <v>4</v>
      </c>
      <c r="G46" s="1" t="s">
        <v>32</v>
      </c>
      <c r="H46" s="1">
        <v>3.3165154999951398</v>
      </c>
      <c r="I46" s="1" t="s">
        <v>33</v>
      </c>
      <c r="J46" s="1">
        <v>4</v>
      </c>
      <c r="K46" s="1">
        <v>4</v>
      </c>
      <c r="L46" s="1">
        <v>44</v>
      </c>
      <c r="M46" s="1">
        <v>6</v>
      </c>
      <c r="N46" s="1">
        <v>77.888686799997203</v>
      </c>
      <c r="O46" s="1"/>
      <c r="P46" s="1">
        <v>77.882226199995699</v>
      </c>
      <c r="Q46" s="1">
        <v>77.888686799997203</v>
      </c>
      <c r="R46" s="1">
        <v>78.871933899994403</v>
      </c>
      <c r="S46" s="1">
        <v>78.871933899994403</v>
      </c>
      <c r="T46" s="1">
        <v>78.888586299995893</v>
      </c>
      <c r="U46" s="1">
        <v>82.205402200001103</v>
      </c>
      <c r="V46" s="1" t="s">
        <v>32</v>
      </c>
      <c r="W46" s="1">
        <v>3.3165154999951398</v>
      </c>
      <c r="X46" s="1" t="s">
        <v>33</v>
      </c>
      <c r="Y46" s="1" t="s">
        <v>46</v>
      </c>
      <c r="Z46" s="1">
        <v>1</v>
      </c>
      <c r="AA46" s="1" t="s">
        <v>47</v>
      </c>
      <c r="AB46" s="1" t="s">
        <v>36</v>
      </c>
      <c r="AC46" s="1"/>
      <c r="AD46" s="1" t="s">
        <v>37</v>
      </c>
      <c r="AE46" s="1">
        <v>60.020406938280097</v>
      </c>
      <c r="AF46" s="1" t="s">
        <v>48</v>
      </c>
    </row>
    <row r="47" spans="1:32" x14ac:dyDescent="0.35">
      <c r="A47" s="1">
        <v>40</v>
      </c>
      <c r="B47" s="1">
        <v>55</v>
      </c>
      <c r="C47" s="1">
        <v>62</v>
      </c>
      <c r="D47" s="1">
        <v>45</v>
      </c>
      <c r="E47" s="1">
        <v>5</v>
      </c>
      <c r="F47" s="1">
        <v>4</v>
      </c>
      <c r="G47" s="1" t="s">
        <v>32</v>
      </c>
      <c r="H47" s="1">
        <v>5.4038992999994599</v>
      </c>
      <c r="I47" s="1" t="s">
        <v>33</v>
      </c>
      <c r="J47" s="1">
        <v>4</v>
      </c>
      <c r="K47" s="1">
        <v>5</v>
      </c>
      <c r="L47" s="1">
        <v>45</v>
      </c>
      <c r="M47" s="1">
        <v>3</v>
      </c>
      <c r="N47" s="1">
        <v>82.221495799996703</v>
      </c>
      <c r="O47" s="1"/>
      <c r="P47" s="1">
        <v>82.211345099996805</v>
      </c>
      <c r="Q47" s="1">
        <v>82.221495799996703</v>
      </c>
      <c r="R47" s="1">
        <v>83.204496099999204</v>
      </c>
      <c r="S47" s="1">
        <v>83.204496099999204</v>
      </c>
      <c r="T47" s="1">
        <v>83.221220799998207</v>
      </c>
      <c r="U47" s="1">
        <v>88.620964099995007</v>
      </c>
      <c r="V47" s="1" t="s">
        <v>32</v>
      </c>
      <c r="W47" s="1">
        <v>5.4038992999994599</v>
      </c>
      <c r="X47" s="1" t="s">
        <v>33</v>
      </c>
      <c r="Y47" s="1" t="s">
        <v>46</v>
      </c>
      <c r="Z47" s="1">
        <v>1</v>
      </c>
      <c r="AA47" s="1" t="s">
        <v>47</v>
      </c>
      <c r="AB47" s="1" t="s">
        <v>36</v>
      </c>
      <c r="AC47" s="1"/>
      <c r="AD47" s="1" t="s">
        <v>37</v>
      </c>
      <c r="AE47" s="1">
        <v>60.020406938280097</v>
      </c>
      <c r="AF47" s="1" t="s">
        <v>48</v>
      </c>
    </row>
    <row r="48" spans="1:32" x14ac:dyDescent="0.35">
      <c r="A48" s="1">
        <v>88</v>
      </c>
      <c r="B48" s="1">
        <v>105</v>
      </c>
      <c r="C48" s="1">
        <v>200</v>
      </c>
      <c r="D48" s="1">
        <v>46</v>
      </c>
      <c r="E48" s="1">
        <v>6</v>
      </c>
      <c r="F48" s="1">
        <v>4</v>
      </c>
      <c r="G48" s="1" t="s">
        <v>32</v>
      </c>
      <c r="H48" s="1">
        <v>2.8868813999943002</v>
      </c>
      <c r="I48" s="1" t="s">
        <v>33</v>
      </c>
      <c r="J48" s="1">
        <v>4</v>
      </c>
      <c r="K48" s="1">
        <v>6</v>
      </c>
      <c r="L48" s="1">
        <v>46</v>
      </c>
      <c r="M48" s="1">
        <v>7</v>
      </c>
      <c r="N48" s="1">
        <v>88.636923899997697</v>
      </c>
      <c r="O48" s="1"/>
      <c r="P48" s="1">
        <v>88.626479799997398</v>
      </c>
      <c r="Q48" s="1">
        <v>88.636923899997697</v>
      </c>
      <c r="R48" s="1">
        <v>89.620222699995793</v>
      </c>
      <c r="S48" s="1">
        <v>89.620222699995793</v>
      </c>
      <c r="T48" s="1">
        <v>89.636774799997497</v>
      </c>
      <c r="U48" s="1">
        <v>92.520530399997298</v>
      </c>
      <c r="V48" s="1" t="s">
        <v>32</v>
      </c>
      <c r="W48" s="1">
        <v>2.8868813999943002</v>
      </c>
      <c r="X48" s="1" t="s">
        <v>33</v>
      </c>
      <c r="Y48" s="1" t="s">
        <v>46</v>
      </c>
      <c r="Z48" s="1">
        <v>1</v>
      </c>
      <c r="AA48" s="1" t="s">
        <v>47</v>
      </c>
      <c r="AB48" s="1" t="s">
        <v>36</v>
      </c>
      <c r="AC48" s="1"/>
      <c r="AD48" s="1" t="s">
        <v>37</v>
      </c>
      <c r="AE48" s="1">
        <v>60.020406938280097</v>
      </c>
      <c r="AF48" s="1" t="s">
        <v>48</v>
      </c>
    </row>
    <row r="49" spans="1:32" x14ac:dyDescent="0.35">
      <c r="A49" s="1">
        <v>49</v>
      </c>
      <c r="B49" s="1">
        <v>60</v>
      </c>
      <c r="C49" s="1">
        <v>89</v>
      </c>
      <c r="D49" s="1">
        <v>47</v>
      </c>
      <c r="E49" s="1">
        <v>7</v>
      </c>
      <c r="F49" s="1">
        <v>4</v>
      </c>
      <c r="G49" s="1" t="s">
        <v>32</v>
      </c>
      <c r="H49" s="1">
        <v>1.8753863000019899</v>
      </c>
      <c r="I49" s="1" t="s">
        <v>33</v>
      </c>
      <c r="J49" s="1">
        <v>4</v>
      </c>
      <c r="K49" s="1">
        <v>7</v>
      </c>
      <c r="L49" s="1">
        <v>47</v>
      </c>
      <c r="M49" s="1">
        <v>4</v>
      </c>
      <c r="N49" s="1">
        <v>92.536200999995302</v>
      </c>
      <c r="O49" s="1"/>
      <c r="P49" s="1">
        <v>92.527982599996903</v>
      </c>
      <c r="Q49" s="1">
        <v>92.536200999995302</v>
      </c>
      <c r="R49" s="1">
        <v>93.519533499995305</v>
      </c>
      <c r="S49" s="1">
        <v>93.519533499995305</v>
      </c>
      <c r="T49" s="1">
        <v>93.5361196999947</v>
      </c>
      <c r="U49" s="1">
        <v>95.403734599996795</v>
      </c>
      <c r="V49" s="1" t="s">
        <v>32</v>
      </c>
      <c r="W49" s="1">
        <v>1.8753863000019899</v>
      </c>
      <c r="X49" s="1" t="s">
        <v>33</v>
      </c>
      <c r="Y49" s="1" t="s">
        <v>46</v>
      </c>
      <c r="Z49" s="1">
        <v>1</v>
      </c>
      <c r="AA49" s="1" t="s">
        <v>47</v>
      </c>
      <c r="AB49" s="1" t="s">
        <v>36</v>
      </c>
      <c r="AC49" s="1"/>
      <c r="AD49" s="1" t="s">
        <v>37</v>
      </c>
      <c r="AE49" s="1">
        <v>60.020406938280097</v>
      </c>
      <c r="AF49" s="1" t="s">
        <v>48</v>
      </c>
    </row>
    <row r="50" spans="1:32" x14ac:dyDescent="0.35">
      <c r="A50" s="1">
        <v>27</v>
      </c>
      <c r="B50" s="1">
        <v>50</v>
      </c>
      <c r="C50" s="1">
        <v>21</v>
      </c>
      <c r="D50" s="1">
        <v>48</v>
      </c>
      <c r="E50" s="1">
        <v>8</v>
      </c>
      <c r="F50" s="1">
        <v>4</v>
      </c>
      <c r="G50" s="1" t="s">
        <v>32</v>
      </c>
      <c r="H50" s="1">
        <v>1.04125140000542</v>
      </c>
      <c r="I50" s="1" t="s">
        <v>33</v>
      </c>
      <c r="J50" s="1">
        <v>4</v>
      </c>
      <c r="K50" s="1">
        <v>8</v>
      </c>
      <c r="L50" s="1">
        <v>48</v>
      </c>
      <c r="M50" s="1">
        <v>2</v>
      </c>
      <c r="N50" s="1">
        <v>95.436328299998394</v>
      </c>
      <c r="O50" s="1"/>
      <c r="P50" s="1">
        <v>95.413900899999106</v>
      </c>
      <c r="Q50" s="1">
        <v>95.436328299998394</v>
      </c>
      <c r="R50" s="1">
        <v>96.419159199998802</v>
      </c>
      <c r="S50" s="1">
        <v>96.419159199998802</v>
      </c>
      <c r="T50" s="1">
        <v>96.435910299995101</v>
      </c>
      <c r="U50" s="1">
        <v>97.469554899995202</v>
      </c>
      <c r="V50" s="1" t="s">
        <v>32</v>
      </c>
      <c r="W50" s="1">
        <v>1.04125140000542</v>
      </c>
      <c r="X50" s="1" t="s">
        <v>33</v>
      </c>
      <c r="Y50" s="1" t="s">
        <v>46</v>
      </c>
      <c r="Z50" s="1">
        <v>1</v>
      </c>
      <c r="AA50" s="1" t="s">
        <v>47</v>
      </c>
      <c r="AB50" s="1" t="s">
        <v>36</v>
      </c>
      <c r="AC50" s="1"/>
      <c r="AD50" s="1" t="s">
        <v>37</v>
      </c>
      <c r="AE50" s="1">
        <v>60.020406938280097</v>
      </c>
      <c r="AF50" s="1" t="s">
        <v>48</v>
      </c>
    </row>
    <row r="51" spans="1:32" x14ac:dyDescent="0.35">
      <c r="A51" s="1">
        <v>15</v>
      </c>
      <c r="B51" s="1">
        <v>35</v>
      </c>
      <c r="C51" s="1">
        <v>13</v>
      </c>
      <c r="D51" s="1">
        <v>49</v>
      </c>
      <c r="E51" s="1">
        <v>9</v>
      </c>
      <c r="F51" s="1">
        <v>4</v>
      </c>
      <c r="G51" s="1" t="s">
        <v>39</v>
      </c>
      <c r="H51" s="1">
        <v>1.55438900000444</v>
      </c>
      <c r="I51" s="1" t="s">
        <v>33</v>
      </c>
      <c r="J51" s="1">
        <v>4</v>
      </c>
      <c r="K51" s="1">
        <v>9</v>
      </c>
      <c r="L51" s="1">
        <v>49</v>
      </c>
      <c r="M51" s="1">
        <v>1</v>
      </c>
      <c r="N51" s="1">
        <v>97.485538499997304</v>
      </c>
      <c r="O51" s="1"/>
      <c r="P51" s="1">
        <v>97.476479099997903</v>
      </c>
      <c r="Q51" s="1">
        <v>97.485538499997304</v>
      </c>
      <c r="R51" s="1">
        <v>98.469129699995307</v>
      </c>
      <c r="S51" s="1">
        <v>98.469129699995307</v>
      </c>
      <c r="T51" s="1">
        <v>98.485447999999394</v>
      </c>
      <c r="U51" s="1">
        <v>100.035836299997</v>
      </c>
      <c r="V51" s="1" t="s">
        <v>39</v>
      </c>
      <c r="W51" s="1">
        <v>1.55438900000444</v>
      </c>
      <c r="X51" s="1" t="s">
        <v>33</v>
      </c>
      <c r="Y51" s="1" t="s">
        <v>46</v>
      </c>
      <c r="Z51" s="1">
        <v>1</v>
      </c>
      <c r="AA51" s="1" t="s">
        <v>47</v>
      </c>
      <c r="AB51" s="1" t="s">
        <v>36</v>
      </c>
      <c r="AC51" s="1"/>
      <c r="AD51" s="1" t="s">
        <v>37</v>
      </c>
      <c r="AE51" s="1">
        <v>60.020406938280097</v>
      </c>
      <c r="AF51" s="1" t="s">
        <v>48</v>
      </c>
    </row>
    <row r="52" spans="1:32" x14ac:dyDescent="0.35">
      <c r="A52" s="1">
        <v>15</v>
      </c>
      <c r="B52" s="1">
        <v>35</v>
      </c>
      <c r="C52" s="1">
        <v>13</v>
      </c>
      <c r="D52" s="1">
        <v>50</v>
      </c>
      <c r="E52" s="1">
        <v>0</v>
      </c>
      <c r="F52" s="1">
        <v>5</v>
      </c>
      <c r="G52" s="1" t="s">
        <v>39</v>
      </c>
      <c r="H52" s="1">
        <v>1.1065228000006699</v>
      </c>
      <c r="I52" s="1" t="s">
        <v>33</v>
      </c>
      <c r="J52" s="1">
        <v>5</v>
      </c>
      <c r="K52" s="1">
        <v>0</v>
      </c>
      <c r="L52" s="1">
        <v>50</v>
      </c>
      <c r="M52" s="1">
        <v>1</v>
      </c>
      <c r="N52" s="1">
        <v>100.051845299996</v>
      </c>
      <c r="O52" s="1"/>
      <c r="P52" s="1">
        <v>100.036155299996</v>
      </c>
      <c r="Q52" s="1">
        <v>100.051845299996</v>
      </c>
      <c r="R52" s="1">
        <v>101.035230599998</v>
      </c>
      <c r="S52" s="1">
        <v>101.035230599998</v>
      </c>
      <c r="T52" s="1">
        <v>101.05221999999701</v>
      </c>
      <c r="U52" s="1">
        <v>102.152169699998</v>
      </c>
      <c r="V52" s="1" t="s">
        <v>39</v>
      </c>
      <c r="W52" s="1">
        <v>1.1065228000006699</v>
      </c>
      <c r="X52" s="1" t="s">
        <v>33</v>
      </c>
      <c r="Y52" s="1" t="s">
        <v>46</v>
      </c>
      <c r="Z52" s="1">
        <v>1</v>
      </c>
      <c r="AA52" s="1" t="s">
        <v>47</v>
      </c>
      <c r="AB52" s="1" t="s">
        <v>36</v>
      </c>
      <c r="AC52" s="1"/>
      <c r="AD52" s="1" t="s">
        <v>37</v>
      </c>
      <c r="AE52" s="1">
        <v>60.020406938280097</v>
      </c>
      <c r="AF52" s="1" t="s">
        <v>48</v>
      </c>
    </row>
    <row r="53" spans="1:32" x14ac:dyDescent="0.35">
      <c r="A53" s="1">
        <v>78</v>
      </c>
      <c r="B53" s="1">
        <v>80</v>
      </c>
      <c r="C53" s="1">
        <v>162</v>
      </c>
      <c r="D53" s="1">
        <v>51</v>
      </c>
      <c r="E53" s="1">
        <v>1</v>
      </c>
      <c r="F53" s="1">
        <v>5</v>
      </c>
      <c r="G53" s="1" t="s">
        <v>32</v>
      </c>
      <c r="H53" s="1">
        <v>1.0979517000014301</v>
      </c>
      <c r="I53" s="1" t="s">
        <v>33</v>
      </c>
      <c r="J53" s="1">
        <v>5</v>
      </c>
      <c r="K53" s="1">
        <v>1</v>
      </c>
      <c r="L53" s="1">
        <v>51</v>
      </c>
      <c r="M53" s="1">
        <v>6</v>
      </c>
      <c r="N53" s="1">
        <v>102.168263699997</v>
      </c>
      <c r="O53" s="1"/>
      <c r="P53" s="1">
        <v>102.157056799995</v>
      </c>
      <c r="Q53" s="1">
        <v>102.168263699997</v>
      </c>
      <c r="R53" s="1">
        <v>103.151587299995</v>
      </c>
      <c r="S53" s="1">
        <v>103.151587299995</v>
      </c>
      <c r="T53" s="1">
        <v>103.168023999998</v>
      </c>
      <c r="U53" s="1">
        <v>104.252406199993</v>
      </c>
      <c r="V53" s="1" t="s">
        <v>32</v>
      </c>
      <c r="W53" s="1">
        <v>1.0979517000014301</v>
      </c>
      <c r="X53" s="1" t="s">
        <v>33</v>
      </c>
      <c r="Y53" s="1" t="s">
        <v>46</v>
      </c>
      <c r="Z53" s="1">
        <v>1</v>
      </c>
      <c r="AA53" s="1" t="s">
        <v>47</v>
      </c>
      <c r="AB53" s="1" t="s">
        <v>36</v>
      </c>
      <c r="AC53" s="1"/>
      <c r="AD53" s="1" t="s">
        <v>37</v>
      </c>
      <c r="AE53" s="1">
        <v>60.020406938280097</v>
      </c>
      <c r="AF53" s="1" t="s">
        <v>48</v>
      </c>
    </row>
    <row r="54" spans="1:32" x14ac:dyDescent="0.35">
      <c r="A54" s="1">
        <v>40</v>
      </c>
      <c r="B54" s="1">
        <v>55</v>
      </c>
      <c r="C54" s="1">
        <v>62</v>
      </c>
      <c r="D54" s="1">
        <v>52</v>
      </c>
      <c r="E54" s="1">
        <v>2</v>
      </c>
      <c r="F54" s="1">
        <v>5</v>
      </c>
      <c r="G54" s="1" t="s">
        <v>32</v>
      </c>
      <c r="H54" s="1">
        <v>4.4101045999996096</v>
      </c>
      <c r="I54" s="1" t="s">
        <v>33</v>
      </c>
      <c r="J54" s="1">
        <v>5</v>
      </c>
      <c r="K54" s="1">
        <v>2</v>
      </c>
      <c r="L54" s="1">
        <v>52</v>
      </c>
      <c r="M54" s="1">
        <v>3</v>
      </c>
      <c r="N54" s="1">
        <v>104.26787909999901</v>
      </c>
      <c r="O54" s="1"/>
      <c r="P54" s="1">
        <v>104.257835099997</v>
      </c>
      <c r="Q54" s="1">
        <v>104.26787909999901</v>
      </c>
      <c r="R54" s="1">
        <v>105.267713000001</v>
      </c>
      <c r="S54" s="1">
        <v>105.267713000001</v>
      </c>
      <c r="T54" s="1">
        <v>105.267713000001</v>
      </c>
      <c r="U54" s="1">
        <v>109.684070799994</v>
      </c>
      <c r="V54" s="1" t="s">
        <v>32</v>
      </c>
      <c r="W54" s="1">
        <v>4.4101045999996096</v>
      </c>
      <c r="X54" s="1" t="s">
        <v>33</v>
      </c>
      <c r="Y54" s="1" t="s">
        <v>46</v>
      </c>
      <c r="Z54" s="1">
        <v>1</v>
      </c>
      <c r="AA54" s="1" t="s">
        <v>47</v>
      </c>
      <c r="AB54" s="1" t="s">
        <v>36</v>
      </c>
      <c r="AC54" s="1"/>
      <c r="AD54" s="1" t="s">
        <v>37</v>
      </c>
      <c r="AE54" s="1">
        <v>60.020406938280097</v>
      </c>
      <c r="AF54" s="1" t="s">
        <v>48</v>
      </c>
    </row>
    <row r="55" spans="1:32" x14ac:dyDescent="0.35">
      <c r="A55" s="1">
        <v>11</v>
      </c>
      <c r="B55" s="1">
        <v>30</v>
      </c>
      <c r="C55" s="1">
        <v>7</v>
      </c>
      <c r="D55" s="1">
        <v>53</v>
      </c>
      <c r="E55" s="1">
        <v>3</v>
      </c>
      <c r="F55" s="1">
        <v>5</v>
      </c>
      <c r="G55" s="1" t="s">
        <v>32</v>
      </c>
      <c r="H55" s="1">
        <v>8.7735769999999302</v>
      </c>
      <c r="I55" s="1" t="s">
        <v>33</v>
      </c>
      <c r="J55" s="1">
        <v>5</v>
      </c>
      <c r="K55" s="1">
        <v>3</v>
      </c>
      <c r="L55" s="1">
        <v>53</v>
      </c>
      <c r="M55" s="1">
        <v>0</v>
      </c>
      <c r="N55" s="1">
        <v>109.700105099997</v>
      </c>
      <c r="O55" s="1"/>
      <c r="P55" s="1">
        <v>109.69030549999999</v>
      </c>
      <c r="Q55" s="1">
        <v>109.700105099997</v>
      </c>
      <c r="R55" s="1">
        <v>110.683322699995</v>
      </c>
      <c r="S55" s="1">
        <v>110.683322699995</v>
      </c>
      <c r="T55" s="1">
        <v>110.700082099996</v>
      </c>
      <c r="U55" s="1">
        <v>119.46626089999999</v>
      </c>
      <c r="V55" s="1" t="s">
        <v>32</v>
      </c>
      <c r="W55" s="1">
        <v>8.7735769999999302</v>
      </c>
      <c r="X55" s="1" t="s">
        <v>33</v>
      </c>
      <c r="Y55" s="1" t="s">
        <v>46</v>
      </c>
      <c r="Z55" s="1">
        <v>1</v>
      </c>
      <c r="AA55" s="1" t="s">
        <v>47</v>
      </c>
      <c r="AB55" s="1" t="s">
        <v>36</v>
      </c>
      <c r="AC55" s="1"/>
      <c r="AD55" s="1" t="s">
        <v>37</v>
      </c>
      <c r="AE55" s="1">
        <v>60.020406938280097</v>
      </c>
      <c r="AF55" s="1" t="s">
        <v>48</v>
      </c>
    </row>
    <row r="56" spans="1:32" x14ac:dyDescent="0.35">
      <c r="A56" s="1">
        <v>49</v>
      </c>
      <c r="B56" s="1">
        <v>60</v>
      </c>
      <c r="C56" s="1">
        <v>89</v>
      </c>
      <c r="D56" s="1">
        <v>54</v>
      </c>
      <c r="E56" s="1">
        <v>4</v>
      </c>
      <c r="F56" s="1">
        <v>5</v>
      </c>
      <c r="G56" s="1" t="s">
        <v>32</v>
      </c>
      <c r="H56" s="1">
        <v>1.41061440000339</v>
      </c>
      <c r="I56" s="1" t="s">
        <v>33</v>
      </c>
      <c r="J56" s="1">
        <v>5</v>
      </c>
      <c r="K56" s="1">
        <v>4</v>
      </c>
      <c r="L56" s="1">
        <v>54</v>
      </c>
      <c r="M56" s="1">
        <v>4</v>
      </c>
      <c r="N56" s="1">
        <v>119.49868019999801</v>
      </c>
      <c r="O56" s="1"/>
      <c r="P56" s="1">
        <v>119.476578199995</v>
      </c>
      <c r="Q56" s="1">
        <v>119.49868019999801</v>
      </c>
      <c r="R56" s="1">
        <v>120.48253119999499</v>
      </c>
      <c r="S56" s="1">
        <v>120.48253119999499</v>
      </c>
      <c r="T56" s="1">
        <v>120.499376799998</v>
      </c>
      <c r="U56" s="1">
        <v>121.89894529999501</v>
      </c>
      <c r="V56" s="1" t="s">
        <v>32</v>
      </c>
      <c r="W56" s="1">
        <v>1.41061440000339</v>
      </c>
      <c r="X56" s="1" t="s">
        <v>33</v>
      </c>
      <c r="Y56" s="1" t="s">
        <v>46</v>
      </c>
      <c r="Z56" s="1">
        <v>1</v>
      </c>
      <c r="AA56" s="1" t="s">
        <v>47</v>
      </c>
      <c r="AB56" s="1" t="s">
        <v>36</v>
      </c>
      <c r="AC56" s="1"/>
      <c r="AD56" s="1" t="s">
        <v>37</v>
      </c>
      <c r="AE56" s="1">
        <v>60.020406938280097</v>
      </c>
      <c r="AF56" s="1" t="s">
        <v>48</v>
      </c>
    </row>
    <row r="57" spans="1:32" x14ac:dyDescent="0.35">
      <c r="A57" s="1">
        <v>110</v>
      </c>
      <c r="B57" s="1">
        <v>135</v>
      </c>
      <c r="C57" s="1">
        <v>270</v>
      </c>
      <c r="D57" s="1">
        <v>55</v>
      </c>
      <c r="E57" s="1">
        <v>5</v>
      </c>
      <c r="F57" s="1">
        <v>5</v>
      </c>
      <c r="G57" s="1" t="s">
        <v>32</v>
      </c>
      <c r="H57" s="1">
        <v>1.05920800000603</v>
      </c>
      <c r="I57" s="1" t="s">
        <v>33</v>
      </c>
      <c r="J57" s="1">
        <v>5</v>
      </c>
      <c r="K57" s="1">
        <v>5</v>
      </c>
      <c r="L57" s="1">
        <v>55</v>
      </c>
      <c r="M57" s="1">
        <v>9</v>
      </c>
      <c r="N57" s="1">
        <v>121.914982899994</v>
      </c>
      <c r="O57" s="1"/>
      <c r="P57" s="1">
        <v>121.90482799999801</v>
      </c>
      <c r="Q57" s="1">
        <v>121.914982899994</v>
      </c>
      <c r="R57" s="1">
        <v>122.898135399998</v>
      </c>
      <c r="S57" s="1">
        <v>122.898135399998</v>
      </c>
      <c r="T57" s="1">
        <v>122.914762899999</v>
      </c>
      <c r="U57" s="1">
        <v>123.9652833</v>
      </c>
      <c r="V57" s="1" t="s">
        <v>32</v>
      </c>
      <c r="W57" s="1">
        <v>1.05920800000603</v>
      </c>
      <c r="X57" s="1" t="s">
        <v>33</v>
      </c>
      <c r="Y57" s="1" t="s">
        <v>46</v>
      </c>
      <c r="Z57" s="1">
        <v>1</v>
      </c>
      <c r="AA57" s="1" t="s">
        <v>47</v>
      </c>
      <c r="AB57" s="1" t="s">
        <v>36</v>
      </c>
      <c r="AC57" s="1"/>
      <c r="AD57" s="1" t="s">
        <v>37</v>
      </c>
      <c r="AE57" s="1">
        <v>60.020406938280097</v>
      </c>
      <c r="AF57" s="1" t="s">
        <v>48</v>
      </c>
    </row>
    <row r="58" spans="1:32" x14ac:dyDescent="0.35">
      <c r="A58" s="1">
        <v>98</v>
      </c>
      <c r="B58" s="1">
        <v>120</v>
      </c>
      <c r="C58" s="1">
        <v>230</v>
      </c>
      <c r="D58" s="1">
        <v>56</v>
      </c>
      <c r="E58" s="1">
        <v>6</v>
      </c>
      <c r="F58" s="1">
        <v>5</v>
      </c>
      <c r="G58" s="1" t="s">
        <v>32</v>
      </c>
      <c r="H58" s="1">
        <v>0.58251580000069203</v>
      </c>
      <c r="I58" s="1" t="s">
        <v>33</v>
      </c>
      <c r="J58" s="1">
        <v>5</v>
      </c>
      <c r="K58" s="1">
        <v>6</v>
      </c>
      <c r="L58" s="1">
        <v>56</v>
      </c>
      <c r="M58" s="1">
        <v>8</v>
      </c>
      <c r="N58" s="1">
        <v>123.981192699997</v>
      </c>
      <c r="O58" s="1"/>
      <c r="P58" s="1">
        <v>123.97063029999801</v>
      </c>
      <c r="Q58" s="1">
        <v>123.981192699997</v>
      </c>
      <c r="R58" s="1">
        <v>124.964424099998</v>
      </c>
      <c r="S58" s="1">
        <v>124.964424099998</v>
      </c>
      <c r="T58" s="1">
        <v>124.981171499995</v>
      </c>
      <c r="U58" s="1">
        <v>125.5490709</v>
      </c>
      <c r="V58" s="1" t="s">
        <v>32</v>
      </c>
      <c r="W58" s="1">
        <v>0.58251580000069203</v>
      </c>
      <c r="X58" s="1" t="s">
        <v>33</v>
      </c>
      <c r="Y58" s="1" t="s">
        <v>46</v>
      </c>
      <c r="Z58" s="1">
        <v>1</v>
      </c>
      <c r="AA58" s="1" t="s">
        <v>47</v>
      </c>
      <c r="AB58" s="1" t="s">
        <v>36</v>
      </c>
      <c r="AC58" s="1"/>
      <c r="AD58" s="1" t="s">
        <v>37</v>
      </c>
      <c r="AE58" s="1">
        <v>60.020406938280097</v>
      </c>
      <c r="AF58" s="1" t="s">
        <v>48</v>
      </c>
    </row>
    <row r="59" spans="1:32" x14ac:dyDescent="0.35">
      <c r="A59" s="1">
        <v>88</v>
      </c>
      <c r="B59" s="1">
        <v>105</v>
      </c>
      <c r="C59" s="1">
        <v>200</v>
      </c>
      <c r="D59" s="1">
        <v>57</v>
      </c>
      <c r="E59" s="1">
        <v>7</v>
      </c>
      <c r="F59" s="1">
        <v>5</v>
      </c>
      <c r="G59" s="1" t="s">
        <v>32</v>
      </c>
      <c r="H59" s="1">
        <v>0.32458710000355401</v>
      </c>
      <c r="I59" s="1" t="s">
        <v>33</v>
      </c>
      <c r="J59" s="1">
        <v>5</v>
      </c>
      <c r="K59" s="1">
        <v>7</v>
      </c>
      <c r="L59" s="1">
        <v>57</v>
      </c>
      <c r="M59" s="1">
        <v>7</v>
      </c>
      <c r="N59" s="1">
        <v>125.564190999997</v>
      </c>
      <c r="O59" s="1"/>
      <c r="P59" s="1">
        <v>125.5553908</v>
      </c>
      <c r="Q59" s="1">
        <v>125.564190999997</v>
      </c>
      <c r="R59" s="1">
        <v>126.5649004</v>
      </c>
      <c r="S59" s="1">
        <v>126.5649004</v>
      </c>
      <c r="T59" s="1">
        <v>126.5649004</v>
      </c>
      <c r="U59" s="1">
        <v>126.898114199997</v>
      </c>
      <c r="V59" s="1" t="s">
        <v>32</v>
      </c>
      <c r="W59" s="1">
        <v>0.32458710000355401</v>
      </c>
      <c r="X59" s="1" t="s">
        <v>33</v>
      </c>
      <c r="Y59" s="1" t="s">
        <v>46</v>
      </c>
      <c r="Z59" s="1">
        <v>1</v>
      </c>
      <c r="AA59" s="1" t="s">
        <v>47</v>
      </c>
      <c r="AB59" s="1" t="s">
        <v>36</v>
      </c>
      <c r="AC59" s="1"/>
      <c r="AD59" s="1" t="s">
        <v>37</v>
      </c>
      <c r="AE59" s="1">
        <v>60.020406938280097</v>
      </c>
      <c r="AF59" s="1" t="s">
        <v>48</v>
      </c>
    </row>
    <row r="60" spans="1:32" x14ac:dyDescent="0.35">
      <c r="A60" s="1">
        <v>67</v>
      </c>
      <c r="B60" s="1">
        <v>75</v>
      </c>
      <c r="C60" s="1">
        <v>119</v>
      </c>
      <c r="D60" s="1">
        <v>58</v>
      </c>
      <c r="E60" s="1">
        <v>8</v>
      </c>
      <c r="F60" s="1">
        <v>5</v>
      </c>
      <c r="G60" s="1" t="s">
        <v>32</v>
      </c>
      <c r="H60" s="1">
        <v>0.32699739999952698</v>
      </c>
      <c r="I60" s="1" t="s">
        <v>33</v>
      </c>
      <c r="J60" s="1">
        <v>5</v>
      </c>
      <c r="K60" s="1">
        <v>8</v>
      </c>
      <c r="L60" s="1">
        <v>58</v>
      </c>
      <c r="M60" s="1">
        <v>5</v>
      </c>
      <c r="N60" s="1">
        <v>126.91407269999701</v>
      </c>
      <c r="O60" s="1"/>
      <c r="P60" s="1">
        <v>126.90450599999799</v>
      </c>
      <c r="Q60" s="1">
        <v>126.91407269999701</v>
      </c>
      <c r="R60" s="1">
        <v>127.897314099995</v>
      </c>
      <c r="S60" s="1">
        <v>127.897314099995</v>
      </c>
      <c r="T60" s="1">
        <v>127.91403249999701</v>
      </c>
      <c r="U60" s="1">
        <v>128.23133989999701</v>
      </c>
      <c r="V60" s="1" t="s">
        <v>32</v>
      </c>
      <c r="W60" s="1">
        <v>0.32699739999952698</v>
      </c>
      <c r="X60" s="1" t="s">
        <v>33</v>
      </c>
      <c r="Y60" s="1" t="s">
        <v>46</v>
      </c>
      <c r="Z60" s="1">
        <v>1</v>
      </c>
      <c r="AA60" s="1" t="s">
        <v>47</v>
      </c>
      <c r="AB60" s="1" t="s">
        <v>36</v>
      </c>
      <c r="AC60" s="1"/>
      <c r="AD60" s="1" t="s">
        <v>37</v>
      </c>
      <c r="AE60" s="1">
        <v>60.020406938280097</v>
      </c>
      <c r="AF60" s="1" t="s">
        <v>48</v>
      </c>
    </row>
    <row r="61" spans="1:32" x14ac:dyDescent="0.35">
      <c r="A61" s="1">
        <v>27</v>
      </c>
      <c r="B61" s="1">
        <v>50</v>
      </c>
      <c r="C61" s="1">
        <v>21</v>
      </c>
      <c r="D61" s="1">
        <v>59</v>
      </c>
      <c r="E61" s="1">
        <v>9</v>
      </c>
      <c r="F61" s="1">
        <v>5</v>
      </c>
      <c r="G61" s="1" t="s">
        <v>32</v>
      </c>
      <c r="H61" s="1">
        <v>0.28957810000429102</v>
      </c>
      <c r="I61" s="1" t="s">
        <v>33</v>
      </c>
      <c r="J61" s="1">
        <v>5</v>
      </c>
      <c r="K61" s="1">
        <v>9</v>
      </c>
      <c r="L61" s="1">
        <v>59</v>
      </c>
      <c r="M61" s="1">
        <v>2</v>
      </c>
      <c r="N61" s="1">
        <v>128.24702939999401</v>
      </c>
      <c r="O61" s="1"/>
      <c r="P61" s="1">
        <v>128.23836679999599</v>
      </c>
      <c r="Q61" s="1">
        <v>128.24702939999401</v>
      </c>
      <c r="R61" s="1">
        <v>129.24711189999601</v>
      </c>
      <c r="S61" s="1">
        <v>129.24711189999601</v>
      </c>
      <c r="T61" s="1">
        <v>129.24711189999601</v>
      </c>
      <c r="U61" s="1">
        <v>129.548377899998</v>
      </c>
      <c r="V61" s="1" t="s">
        <v>32</v>
      </c>
      <c r="W61" s="1">
        <v>0.28957810000429102</v>
      </c>
      <c r="X61" s="1" t="s">
        <v>33</v>
      </c>
      <c r="Y61" s="1" t="s">
        <v>46</v>
      </c>
      <c r="Z61" s="1">
        <v>1</v>
      </c>
      <c r="AA61" s="1" t="s">
        <v>47</v>
      </c>
      <c r="AB61" s="1" t="s">
        <v>36</v>
      </c>
      <c r="AC61" s="1"/>
      <c r="AD61" s="1" t="s">
        <v>37</v>
      </c>
      <c r="AE61" s="1">
        <v>60.020406938280097</v>
      </c>
      <c r="AF61" s="1" t="s">
        <v>48</v>
      </c>
    </row>
    <row r="62" spans="1:32" x14ac:dyDescent="0.35">
      <c r="A62" s="1">
        <v>40</v>
      </c>
      <c r="B62" s="1">
        <v>55</v>
      </c>
      <c r="C62" s="1">
        <v>62</v>
      </c>
      <c r="D62" s="1">
        <v>60</v>
      </c>
      <c r="E62" s="1">
        <v>0</v>
      </c>
      <c r="F62" s="1">
        <v>6</v>
      </c>
      <c r="G62" s="1" t="s">
        <v>32</v>
      </c>
      <c r="H62" s="1">
        <v>0.38861280000128301</v>
      </c>
      <c r="I62" s="1" t="s">
        <v>33</v>
      </c>
      <c r="J62" s="1">
        <v>6</v>
      </c>
      <c r="K62" s="1">
        <v>0</v>
      </c>
      <c r="L62" s="1">
        <v>60</v>
      </c>
      <c r="M62" s="1">
        <v>3</v>
      </c>
      <c r="N62" s="1">
        <v>129.56349469999901</v>
      </c>
      <c r="O62" s="1"/>
      <c r="P62" s="1">
        <v>129.55410829999801</v>
      </c>
      <c r="Q62" s="1">
        <v>129.56349469999901</v>
      </c>
      <c r="R62" s="1">
        <v>130.56394569999901</v>
      </c>
      <c r="S62" s="1">
        <v>130.56394569999901</v>
      </c>
      <c r="T62" s="1">
        <v>130.56394569999901</v>
      </c>
      <c r="U62" s="1">
        <v>130.96409339999801</v>
      </c>
      <c r="V62" s="1" t="s">
        <v>32</v>
      </c>
      <c r="W62" s="1">
        <v>0.38861280000128301</v>
      </c>
      <c r="X62" s="1" t="s">
        <v>33</v>
      </c>
      <c r="Y62" s="1" t="s">
        <v>46</v>
      </c>
      <c r="Z62" s="1">
        <v>1</v>
      </c>
      <c r="AA62" s="1" t="s">
        <v>47</v>
      </c>
      <c r="AB62" s="1" t="s">
        <v>36</v>
      </c>
      <c r="AC62" s="1"/>
      <c r="AD62" s="1" t="s">
        <v>37</v>
      </c>
      <c r="AE62" s="1">
        <v>60.020406938280097</v>
      </c>
      <c r="AF62" s="1" t="s">
        <v>48</v>
      </c>
    </row>
    <row r="63" spans="1:32" x14ac:dyDescent="0.35">
      <c r="A63" s="1">
        <v>15</v>
      </c>
      <c r="B63" s="1">
        <v>35</v>
      </c>
      <c r="C63" s="1">
        <v>13</v>
      </c>
      <c r="D63" s="1">
        <v>61</v>
      </c>
      <c r="E63" s="1">
        <v>1</v>
      </c>
      <c r="F63" s="1">
        <v>6</v>
      </c>
      <c r="G63" s="1" t="s">
        <v>32</v>
      </c>
      <c r="H63" s="1">
        <v>0.29130830000212798</v>
      </c>
      <c r="I63" s="1" t="s">
        <v>33</v>
      </c>
      <c r="J63" s="1">
        <v>6</v>
      </c>
      <c r="K63" s="1">
        <v>1</v>
      </c>
      <c r="L63" s="1">
        <v>61</v>
      </c>
      <c r="M63" s="1">
        <v>1</v>
      </c>
      <c r="N63" s="1">
        <v>130.98021879999499</v>
      </c>
      <c r="O63" s="1"/>
      <c r="P63" s="1">
        <v>130.971743999994</v>
      </c>
      <c r="Q63" s="1">
        <v>130.98021879999499</v>
      </c>
      <c r="R63" s="1">
        <v>131.96324759999601</v>
      </c>
      <c r="S63" s="1">
        <v>131.96324759999601</v>
      </c>
      <c r="T63" s="1">
        <v>131.979955199996</v>
      </c>
      <c r="U63" s="1">
        <v>132.26385029999801</v>
      </c>
      <c r="V63" s="1" t="s">
        <v>32</v>
      </c>
      <c r="W63" s="1">
        <v>0.29130830000212798</v>
      </c>
      <c r="X63" s="1" t="s">
        <v>33</v>
      </c>
      <c r="Y63" s="1" t="s">
        <v>46</v>
      </c>
      <c r="Z63" s="1">
        <v>1</v>
      </c>
      <c r="AA63" s="1" t="s">
        <v>47</v>
      </c>
      <c r="AB63" s="1" t="s">
        <v>36</v>
      </c>
      <c r="AC63" s="1"/>
      <c r="AD63" s="1" t="s">
        <v>37</v>
      </c>
      <c r="AE63" s="1">
        <v>60.020406938280097</v>
      </c>
      <c r="AF63" s="1" t="s">
        <v>48</v>
      </c>
    </row>
    <row r="64" spans="1:32" x14ac:dyDescent="0.35">
      <c r="A64" s="1">
        <v>110</v>
      </c>
      <c r="B64" s="1">
        <v>135</v>
      </c>
      <c r="C64" s="1">
        <v>270</v>
      </c>
      <c r="D64" s="1">
        <v>62</v>
      </c>
      <c r="E64" s="1">
        <v>2</v>
      </c>
      <c r="F64" s="1">
        <v>6</v>
      </c>
      <c r="G64" s="1" t="s">
        <v>32</v>
      </c>
      <c r="H64" s="1">
        <v>1.11095310000382</v>
      </c>
      <c r="I64" s="1" t="s">
        <v>33</v>
      </c>
      <c r="J64" s="1">
        <v>6</v>
      </c>
      <c r="K64" s="1">
        <v>2</v>
      </c>
      <c r="L64" s="1">
        <v>62</v>
      </c>
      <c r="M64" s="1">
        <v>9</v>
      </c>
      <c r="N64" s="1">
        <v>132.27984669999501</v>
      </c>
      <c r="O64" s="1"/>
      <c r="P64" s="1">
        <v>132.26901340000001</v>
      </c>
      <c r="Q64" s="1">
        <v>132.27984669999501</v>
      </c>
      <c r="R64" s="1">
        <v>133.26312129999801</v>
      </c>
      <c r="S64" s="1">
        <v>133.26312129999801</v>
      </c>
      <c r="T64" s="1">
        <v>133.27960449999901</v>
      </c>
      <c r="U64" s="1">
        <v>134.38044389999399</v>
      </c>
      <c r="V64" s="1" t="s">
        <v>32</v>
      </c>
      <c r="W64" s="1">
        <v>1.11095310000382</v>
      </c>
      <c r="X64" s="1" t="s">
        <v>33</v>
      </c>
      <c r="Y64" s="1" t="s">
        <v>46</v>
      </c>
      <c r="Z64" s="1">
        <v>1</v>
      </c>
      <c r="AA64" s="1" t="s">
        <v>47</v>
      </c>
      <c r="AB64" s="1" t="s">
        <v>36</v>
      </c>
      <c r="AC64" s="1"/>
      <c r="AD64" s="1" t="s">
        <v>37</v>
      </c>
      <c r="AE64" s="1">
        <v>60.020406938280097</v>
      </c>
      <c r="AF64" s="1" t="s">
        <v>48</v>
      </c>
    </row>
    <row r="65" spans="1:32" x14ac:dyDescent="0.35">
      <c r="A65" s="1">
        <v>11</v>
      </c>
      <c r="B65" s="1">
        <v>30</v>
      </c>
      <c r="C65" s="1">
        <v>7</v>
      </c>
      <c r="D65" s="1">
        <v>63</v>
      </c>
      <c r="E65" s="1">
        <v>3</v>
      </c>
      <c r="F65" s="1">
        <v>6</v>
      </c>
      <c r="G65" s="1" t="s">
        <v>39</v>
      </c>
      <c r="H65" s="1">
        <v>1.21572239999659</v>
      </c>
      <c r="I65" s="1" t="s">
        <v>33</v>
      </c>
      <c r="J65" s="1">
        <v>6</v>
      </c>
      <c r="K65" s="1">
        <v>3</v>
      </c>
      <c r="L65" s="1">
        <v>63</v>
      </c>
      <c r="M65" s="1">
        <v>0</v>
      </c>
      <c r="N65" s="1">
        <v>134.396011999997</v>
      </c>
      <c r="O65" s="1"/>
      <c r="P65" s="1">
        <v>134.38804559999599</v>
      </c>
      <c r="Q65" s="1">
        <v>134.396011999997</v>
      </c>
      <c r="R65" s="1">
        <v>135.39599629999401</v>
      </c>
      <c r="S65" s="1">
        <v>135.39599629999401</v>
      </c>
      <c r="T65" s="1">
        <v>135.39599629999401</v>
      </c>
      <c r="U65" s="1">
        <v>136.61350979999401</v>
      </c>
      <c r="V65" s="1" t="s">
        <v>39</v>
      </c>
      <c r="W65" s="1">
        <v>1.21572239999659</v>
      </c>
      <c r="X65" s="1" t="s">
        <v>33</v>
      </c>
      <c r="Y65" s="1" t="s">
        <v>46</v>
      </c>
      <c r="Z65" s="1">
        <v>1</v>
      </c>
      <c r="AA65" s="1" t="s">
        <v>47</v>
      </c>
      <c r="AB65" s="1" t="s">
        <v>36</v>
      </c>
      <c r="AC65" s="1"/>
      <c r="AD65" s="1" t="s">
        <v>37</v>
      </c>
      <c r="AE65" s="1">
        <v>60.020406938280097</v>
      </c>
      <c r="AF65" s="1" t="s">
        <v>48</v>
      </c>
    </row>
    <row r="66" spans="1:32" x14ac:dyDescent="0.35">
      <c r="A66" s="1">
        <v>98</v>
      </c>
      <c r="B66" s="1">
        <v>120</v>
      </c>
      <c r="C66" s="1">
        <v>230</v>
      </c>
      <c r="D66" s="1">
        <v>64</v>
      </c>
      <c r="E66" s="1">
        <v>4</v>
      </c>
      <c r="F66" s="1">
        <v>6</v>
      </c>
      <c r="G66" s="1" t="s">
        <v>32</v>
      </c>
      <c r="H66" s="1">
        <v>0.629854799997701</v>
      </c>
      <c r="I66" s="1" t="s">
        <v>33</v>
      </c>
      <c r="J66" s="1">
        <v>6</v>
      </c>
      <c r="K66" s="1">
        <v>4</v>
      </c>
      <c r="L66" s="1">
        <v>64</v>
      </c>
      <c r="M66" s="1">
        <v>8</v>
      </c>
      <c r="N66" s="1">
        <v>136.629043599998</v>
      </c>
      <c r="O66" s="1"/>
      <c r="P66" s="1">
        <v>136.62063520000001</v>
      </c>
      <c r="Q66" s="1">
        <v>136.629043599998</v>
      </c>
      <c r="R66" s="1">
        <v>137.629057399994</v>
      </c>
      <c r="S66" s="1">
        <v>137.629057399994</v>
      </c>
      <c r="T66" s="1">
        <v>137.629057399994</v>
      </c>
      <c r="U66" s="1">
        <v>138.262834399996</v>
      </c>
      <c r="V66" s="1" t="s">
        <v>32</v>
      </c>
      <c r="W66" s="1">
        <v>0.629854799997701</v>
      </c>
      <c r="X66" s="1" t="s">
        <v>33</v>
      </c>
      <c r="Y66" s="1" t="s">
        <v>46</v>
      </c>
      <c r="Z66" s="1">
        <v>1</v>
      </c>
      <c r="AA66" s="1" t="s">
        <v>47</v>
      </c>
      <c r="AB66" s="1" t="s">
        <v>36</v>
      </c>
      <c r="AC66" s="1"/>
      <c r="AD66" s="1" t="s">
        <v>37</v>
      </c>
      <c r="AE66" s="1">
        <v>60.020406938280097</v>
      </c>
      <c r="AF66" s="1" t="s">
        <v>48</v>
      </c>
    </row>
    <row r="67" spans="1:32" x14ac:dyDescent="0.35">
      <c r="A67" s="1">
        <v>27</v>
      </c>
      <c r="B67" s="1">
        <v>50</v>
      </c>
      <c r="C67" s="1">
        <v>21</v>
      </c>
      <c r="D67" s="1">
        <v>65</v>
      </c>
      <c r="E67" s="1">
        <v>5</v>
      </c>
      <c r="F67" s="1">
        <v>6</v>
      </c>
      <c r="G67" s="1" t="s">
        <v>32</v>
      </c>
      <c r="H67" s="1">
        <v>0.59028650000254801</v>
      </c>
      <c r="I67" s="1" t="s">
        <v>33</v>
      </c>
      <c r="J67" s="1">
        <v>6</v>
      </c>
      <c r="K67" s="1">
        <v>5</v>
      </c>
      <c r="L67" s="1">
        <v>65</v>
      </c>
      <c r="M67" s="1">
        <v>2</v>
      </c>
      <c r="N67" s="1">
        <v>138.27877869999699</v>
      </c>
      <c r="O67" s="1"/>
      <c r="P67" s="1">
        <v>138.26811499999801</v>
      </c>
      <c r="Q67" s="1">
        <v>138.27877869999699</v>
      </c>
      <c r="R67" s="1">
        <v>139.261967499995</v>
      </c>
      <c r="S67" s="1">
        <v>139.261967499995</v>
      </c>
      <c r="T67" s="1">
        <v>139.278690599996</v>
      </c>
      <c r="U67" s="1">
        <v>139.86294989999399</v>
      </c>
      <c r="V67" s="1" t="s">
        <v>32</v>
      </c>
      <c r="W67" s="1">
        <v>0.59028650000254801</v>
      </c>
      <c r="X67" s="1" t="s">
        <v>33</v>
      </c>
      <c r="Y67" s="1" t="s">
        <v>46</v>
      </c>
      <c r="Z67" s="1">
        <v>1</v>
      </c>
      <c r="AA67" s="1" t="s">
        <v>47</v>
      </c>
      <c r="AB67" s="1" t="s">
        <v>36</v>
      </c>
      <c r="AC67" s="1"/>
      <c r="AD67" s="1" t="s">
        <v>37</v>
      </c>
      <c r="AE67" s="1">
        <v>60.020406938280097</v>
      </c>
      <c r="AF67" s="1" t="s">
        <v>48</v>
      </c>
    </row>
    <row r="68" spans="1:32" x14ac:dyDescent="0.35">
      <c r="A68" s="1">
        <v>49</v>
      </c>
      <c r="B68" s="1">
        <v>60</v>
      </c>
      <c r="C68" s="1">
        <v>89</v>
      </c>
      <c r="D68" s="1">
        <v>66</v>
      </c>
      <c r="E68" s="1">
        <v>6</v>
      </c>
      <c r="F68" s="1">
        <v>6</v>
      </c>
      <c r="G68" s="1" t="s">
        <v>32</v>
      </c>
      <c r="H68" s="1">
        <v>0.70119710000290003</v>
      </c>
      <c r="I68" s="1" t="s">
        <v>33</v>
      </c>
      <c r="J68" s="1">
        <v>6</v>
      </c>
      <c r="K68" s="1">
        <v>6</v>
      </c>
      <c r="L68" s="1">
        <v>66</v>
      </c>
      <c r="M68" s="1">
        <v>4</v>
      </c>
      <c r="N68" s="1">
        <v>139.87857049999701</v>
      </c>
      <c r="O68" s="1"/>
      <c r="P68" s="1">
        <v>139.869845099994</v>
      </c>
      <c r="Q68" s="1">
        <v>139.87857049999701</v>
      </c>
      <c r="R68" s="1">
        <v>140.878490499999</v>
      </c>
      <c r="S68" s="1">
        <v>140.878490499999</v>
      </c>
      <c r="T68" s="1">
        <v>140.878490499999</v>
      </c>
      <c r="U68" s="1">
        <v>141.59604279999601</v>
      </c>
      <c r="V68" s="1" t="s">
        <v>32</v>
      </c>
      <c r="W68" s="1">
        <v>0.70119710000290003</v>
      </c>
      <c r="X68" s="1" t="s">
        <v>33</v>
      </c>
      <c r="Y68" s="1" t="s">
        <v>46</v>
      </c>
      <c r="Z68" s="1">
        <v>1</v>
      </c>
      <c r="AA68" s="1" t="s">
        <v>47</v>
      </c>
      <c r="AB68" s="1" t="s">
        <v>36</v>
      </c>
      <c r="AC68" s="1"/>
      <c r="AD68" s="1" t="s">
        <v>37</v>
      </c>
      <c r="AE68" s="1">
        <v>60.020406938280097</v>
      </c>
      <c r="AF68" s="1" t="s">
        <v>48</v>
      </c>
    </row>
    <row r="69" spans="1:32" x14ac:dyDescent="0.35">
      <c r="A69" s="1">
        <v>78</v>
      </c>
      <c r="B69" s="1">
        <v>80</v>
      </c>
      <c r="C69" s="1">
        <v>162</v>
      </c>
      <c r="D69" s="1">
        <v>67</v>
      </c>
      <c r="E69" s="1">
        <v>7</v>
      </c>
      <c r="F69" s="1">
        <v>6</v>
      </c>
      <c r="G69" s="1" t="s">
        <v>32</v>
      </c>
      <c r="H69" s="1">
        <v>0.93789069999911501</v>
      </c>
      <c r="I69" s="1" t="s">
        <v>33</v>
      </c>
      <c r="J69" s="1">
        <v>6</v>
      </c>
      <c r="K69" s="1">
        <v>7</v>
      </c>
      <c r="L69" s="1">
        <v>67</v>
      </c>
      <c r="M69" s="1">
        <v>6</v>
      </c>
      <c r="N69" s="1">
        <v>141.61222429999901</v>
      </c>
      <c r="O69" s="1"/>
      <c r="P69" s="1">
        <v>141.60242479999499</v>
      </c>
      <c r="Q69" s="1">
        <v>141.61222429999901</v>
      </c>
      <c r="R69" s="1">
        <v>142.595244699994</v>
      </c>
      <c r="S69" s="1">
        <v>142.595244699994</v>
      </c>
      <c r="T69" s="1">
        <v>142.611372299994</v>
      </c>
      <c r="U69" s="1">
        <v>143.54609249999999</v>
      </c>
      <c r="V69" s="1" t="s">
        <v>32</v>
      </c>
      <c r="W69" s="1">
        <v>0.93789069999911501</v>
      </c>
      <c r="X69" s="1" t="s">
        <v>33</v>
      </c>
      <c r="Y69" s="1" t="s">
        <v>46</v>
      </c>
      <c r="Z69" s="1">
        <v>1</v>
      </c>
      <c r="AA69" s="1" t="s">
        <v>47</v>
      </c>
      <c r="AB69" s="1" t="s">
        <v>36</v>
      </c>
      <c r="AC69" s="1"/>
      <c r="AD69" s="1" t="s">
        <v>37</v>
      </c>
      <c r="AE69" s="1">
        <v>60.020406938280097</v>
      </c>
      <c r="AF69" s="1" t="s">
        <v>48</v>
      </c>
    </row>
    <row r="70" spans="1:32" x14ac:dyDescent="0.35">
      <c r="A70" s="1">
        <v>88</v>
      </c>
      <c r="B70" s="1">
        <v>105</v>
      </c>
      <c r="C70" s="1">
        <v>200</v>
      </c>
      <c r="D70" s="1">
        <v>68</v>
      </c>
      <c r="E70" s="1">
        <v>8</v>
      </c>
      <c r="F70" s="1">
        <v>6</v>
      </c>
      <c r="G70" s="1" t="s">
        <v>32</v>
      </c>
      <c r="H70" s="1">
        <v>1.19583080000302</v>
      </c>
      <c r="I70" s="1" t="s">
        <v>33</v>
      </c>
      <c r="J70" s="1">
        <v>6</v>
      </c>
      <c r="K70" s="1">
        <v>8</v>
      </c>
      <c r="L70" s="1">
        <v>68</v>
      </c>
      <c r="M70" s="1">
        <v>7</v>
      </c>
      <c r="N70" s="1">
        <v>143.56123349999601</v>
      </c>
      <c r="O70" s="1"/>
      <c r="P70" s="1">
        <v>143.552467399997</v>
      </c>
      <c r="Q70" s="1">
        <v>143.56123349999601</v>
      </c>
      <c r="R70" s="1">
        <v>144.56157559999701</v>
      </c>
      <c r="S70" s="1">
        <v>144.56157559999701</v>
      </c>
      <c r="T70" s="1">
        <v>144.56157559999701</v>
      </c>
      <c r="U70" s="1">
        <v>145.76190209999899</v>
      </c>
      <c r="V70" s="1" t="s">
        <v>32</v>
      </c>
      <c r="W70" s="1">
        <v>1.19583080000302</v>
      </c>
      <c r="X70" s="1" t="s">
        <v>33</v>
      </c>
      <c r="Y70" s="1" t="s">
        <v>46</v>
      </c>
      <c r="Z70" s="1">
        <v>1</v>
      </c>
      <c r="AA70" s="1" t="s">
        <v>47</v>
      </c>
      <c r="AB70" s="1" t="s">
        <v>36</v>
      </c>
      <c r="AC70" s="1"/>
      <c r="AD70" s="1" t="s">
        <v>37</v>
      </c>
      <c r="AE70" s="1">
        <v>60.020406938280097</v>
      </c>
      <c r="AF70" s="1" t="s">
        <v>48</v>
      </c>
    </row>
    <row r="71" spans="1:32" x14ac:dyDescent="0.35">
      <c r="A71" s="1">
        <v>67</v>
      </c>
      <c r="B71" s="1">
        <v>75</v>
      </c>
      <c r="C71" s="1">
        <v>119</v>
      </c>
      <c r="D71" s="1">
        <v>69</v>
      </c>
      <c r="E71" s="1">
        <v>9</v>
      </c>
      <c r="F71" s="1">
        <v>6</v>
      </c>
      <c r="G71" s="1" t="s">
        <v>32</v>
      </c>
      <c r="H71" s="1">
        <v>0.55421869999554396</v>
      </c>
      <c r="I71" s="1" t="s">
        <v>33</v>
      </c>
      <c r="J71" s="1">
        <v>6</v>
      </c>
      <c r="K71" s="1">
        <v>9</v>
      </c>
      <c r="L71" s="1">
        <v>69</v>
      </c>
      <c r="M71" s="1">
        <v>5</v>
      </c>
      <c r="N71" s="1">
        <v>145.77756509999699</v>
      </c>
      <c r="O71" s="1"/>
      <c r="P71" s="1">
        <v>145.76992519999399</v>
      </c>
      <c r="Q71" s="1">
        <v>145.77756509999699</v>
      </c>
      <c r="R71" s="1">
        <v>146.77762769999299</v>
      </c>
      <c r="S71" s="1">
        <v>146.77762769999299</v>
      </c>
      <c r="T71" s="1">
        <v>146.77762769999299</v>
      </c>
      <c r="U71" s="1">
        <v>147.34468919999901</v>
      </c>
      <c r="V71" s="1" t="s">
        <v>32</v>
      </c>
      <c r="W71" s="1">
        <v>0.55421869999554396</v>
      </c>
      <c r="X71" s="1" t="s">
        <v>33</v>
      </c>
      <c r="Y71" s="1" t="s">
        <v>46</v>
      </c>
      <c r="Z71" s="1">
        <v>1</v>
      </c>
      <c r="AA71" s="1" t="s">
        <v>47</v>
      </c>
      <c r="AB71" s="1" t="s">
        <v>36</v>
      </c>
      <c r="AC71" s="1"/>
      <c r="AD71" s="1" t="s">
        <v>37</v>
      </c>
      <c r="AE71" s="1">
        <v>60.020406938280097</v>
      </c>
      <c r="AF71" s="1" t="s">
        <v>48</v>
      </c>
    </row>
    <row r="72" spans="1:32" x14ac:dyDescent="0.35">
      <c r="A72" s="1">
        <v>11</v>
      </c>
      <c r="B72" s="1">
        <v>30</v>
      </c>
      <c r="C72" s="1">
        <v>7</v>
      </c>
      <c r="D72" s="1">
        <v>70</v>
      </c>
      <c r="E72" s="1">
        <v>0</v>
      </c>
      <c r="F72" s="1">
        <v>7</v>
      </c>
      <c r="G72" s="1" t="s">
        <v>39</v>
      </c>
      <c r="H72" s="1">
        <v>0.84394740000425295</v>
      </c>
      <c r="I72" s="1" t="s">
        <v>33</v>
      </c>
      <c r="J72" s="1">
        <v>7</v>
      </c>
      <c r="K72" s="1">
        <v>0</v>
      </c>
      <c r="L72" s="1">
        <v>70</v>
      </c>
      <c r="M72" s="1">
        <v>0</v>
      </c>
      <c r="N72" s="1">
        <v>147.36068320000001</v>
      </c>
      <c r="O72" s="1"/>
      <c r="P72" s="1">
        <v>147.350952199994</v>
      </c>
      <c r="Q72" s="1">
        <v>147.36068320000001</v>
      </c>
      <c r="R72" s="1">
        <v>148.34387209999801</v>
      </c>
      <c r="S72" s="1">
        <v>148.34387209999801</v>
      </c>
      <c r="T72" s="1">
        <v>148.360497399997</v>
      </c>
      <c r="U72" s="1">
        <v>149.194715499994</v>
      </c>
      <c r="V72" s="1" t="s">
        <v>39</v>
      </c>
      <c r="W72" s="1">
        <v>0.84394740000425295</v>
      </c>
      <c r="X72" s="1" t="s">
        <v>33</v>
      </c>
      <c r="Y72" s="1" t="s">
        <v>46</v>
      </c>
      <c r="Z72" s="1">
        <v>1</v>
      </c>
      <c r="AA72" s="1" t="s">
        <v>47</v>
      </c>
      <c r="AB72" s="1" t="s">
        <v>36</v>
      </c>
      <c r="AC72" s="1"/>
      <c r="AD72" s="1" t="s">
        <v>37</v>
      </c>
      <c r="AE72" s="1">
        <v>60.020406938280097</v>
      </c>
      <c r="AF72" s="1" t="s">
        <v>48</v>
      </c>
    </row>
    <row r="73" spans="1:32" x14ac:dyDescent="0.35">
      <c r="A73" s="1">
        <v>98</v>
      </c>
      <c r="B73" s="1">
        <v>120</v>
      </c>
      <c r="C73" s="1">
        <v>230</v>
      </c>
      <c r="D73" s="1">
        <v>71</v>
      </c>
      <c r="E73" s="1">
        <v>1</v>
      </c>
      <c r="F73" s="1">
        <v>7</v>
      </c>
      <c r="G73" s="1" t="s">
        <v>32</v>
      </c>
      <c r="H73" s="1">
        <v>0.64291370000137205</v>
      </c>
      <c r="I73" s="1" t="s">
        <v>33</v>
      </c>
      <c r="J73" s="1">
        <v>7</v>
      </c>
      <c r="K73" s="1">
        <v>1</v>
      </c>
      <c r="L73" s="1">
        <v>71</v>
      </c>
      <c r="M73" s="1">
        <v>8</v>
      </c>
      <c r="N73" s="1">
        <v>149.22707109999399</v>
      </c>
      <c r="O73" s="1"/>
      <c r="P73" s="1">
        <v>149.204888499996</v>
      </c>
      <c r="Q73" s="1">
        <v>149.22707109999399</v>
      </c>
      <c r="R73" s="1">
        <v>150.210271999996</v>
      </c>
      <c r="S73" s="1">
        <v>150.210271999996</v>
      </c>
      <c r="T73" s="1">
        <v>150.22689929999601</v>
      </c>
      <c r="U73" s="1">
        <v>150.860770399995</v>
      </c>
      <c r="V73" s="1" t="s">
        <v>32</v>
      </c>
      <c r="W73" s="1">
        <v>0.64291370000137205</v>
      </c>
      <c r="X73" s="1" t="s">
        <v>33</v>
      </c>
      <c r="Y73" s="1" t="s">
        <v>46</v>
      </c>
      <c r="Z73" s="1">
        <v>1</v>
      </c>
      <c r="AA73" s="1" t="s">
        <v>47</v>
      </c>
      <c r="AB73" s="1" t="s">
        <v>36</v>
      </c>
      <c r="AC73" s="1"/>
      <c r="AD73" s="1" t="s">
        <v>37</v>
      </c>
      <c r="AE73" s="1">
        <v>60.020406938280097</v>
      </c>
      <c r="AF73" s="1" t="s">
        <v>48</v>
      </c>
    </row>
    <row r="74" spans="1:32" x14ac:dyDescent="0.35">
      <c r="A74" s="1">
        <v>40</v>
      </c>
      <c r="B74" s="1">
        <v>55</v>
      </c>
      <c r="C74" s="1">
        <v>62</v>
      </c>
      <c r="D74" s="1">
        <v>72</v>
      </c>
      <c r="E74" s="1">
        <v>2</v>
      </c>
      <c r="F74" s="1">
        <v>7</v>
      </c>
      <c r="G74" s="1" t="s">
        <v>32</v>
      </c>
      <c r="H74" s="1">
        <v>0.75506749999476597</v>
      </c>
      <c r="I74" s="1" t="s">
        <v>33</v>
      </c>
      <c r="J74" s="1">
        <v>7</v>
      </c>
      <c r="K74" s="1">
        <v>2</v>
      </c>
      <c r="L74" s="1">
        <v>72</v>
      </c>
      <c r="M74" s="1">
        <v>3</v>
      </c>
      <c r="N74" s="1">
        <v>150.876709899996</v>
      </c>
      <c r="O74" s="1"/>
      <c r="P74" s="1">
        <v>150.86834099999299</v>
      </c>
      <c r="Q74" s="1">
        <v>150.876709899996</v>
      </c>
      <c r="R74" s="1">
        <v>151.86012059999399</v>
      </c>
      <c r="S74" s="1">
        <v>151.86012059999399</v>
      </c>
      <c r="T74" s="1">
        <v>151.8766933</v>
      </c>
      <c r="U74" s="1">
        <v>152.62762449999701</v>
      </c>
      <c r="V74" s="1" t="s">
        <v>32</v>
      </c>
      <c r="W74" s="1">
        <v>0.75506749999476597</v>
      </c>
      <c r="X74" s="1" t="s">
        <v>33</v>
      </c>
      <c r="Y74" s="1" t="s">
        <v>46</v>
      </c>
      <c r="Z74" s="1">
        <v>1</v>
      </c>
      <c r="AA74" s="1" t="s">
        <v>47</v>
      </c>
      <c r="AB74" s="1" t="s">
        <v>36</v>
      </c>
      <c r="AC74" s="1"/>
      <c r="AD74" s="1" t="s">
        <v>37</v>
      </c>
      <c r="AE74" s="1">
        <v>60.020406938280097</v>
      </c>
      <c r="AF74" s="1" t="s">
        <v>48</v>
      </c>
    </row>
    <row r="75" spans="1:32" x14ac:dyDescent="0.35">
      <c r="A75" s="1">
        <v>15</v>
      </c>
      <c r="B75" s="1">
        <v>35</v>
      </c>
      <c r="C75" s="1">
        <v>13</v>
      </c>
      <c r="D75" s="1">
        <v>73</v>
      </c>
      <c r="E75" s="1">
        <v>3</v>
      </c>
      <c r="F75" s="1">
        <v>7</v>
      </c>
      <c r="G75" s="1" t="s">
        <v>32</v>
      </c>
      <c r="H75" s="1">
        <v>3.2586936000006901</v>
      </c>
      <c r="I75" s="1" t="s">
        <v>33</v>
      </c>
      <c r="J75" s="1">
        <v>7</v>
      </c>
      <c r="K75" s="1">
        <v>3</v>
      </c>
      <c r="L75" s="1">
        <v>73</v>
      </c>
      <c r="M75" s="1">
        <v>1</v>
      </c>
      <c r="N75" s="1">
        <v>152.643100099994</v>
      </c>
      <c r="O75" s="1"/>
      <c r="P75" s="1">
        <v>152.63373099999399</v>
      </c>
      <c r="Q75" s="1">
        <v>152.643100099994</v>
      </c>
      <c r="R75" s="1">
        <v>153.626353899999</v>
      </c>
      <c r="S75" s="1">
        <v>153.626353899999</v>
      </c>
      <c r="T75" s="1">
        <v>153.64349979999599</v>
      </c>
      <c r="U75" s="1">
        <v>156.893125299997</v>
      </c>
      <c r="V75" s="1" t="s">
        <v>32</v>
      </c>
      <c r="W75" s="1">
        <v>3.2586936000006901</v>
      </c>
      <c r="X75" s="1" t="s">
        <v>33</v>
      </c>
      <c r="Y75" s="1" t="s">
        <v>46</v>
      </c>
      <c r="Z75" s="1">
        <v>1</v>
      </c>
      <c r="AA75" s="1" t="s">
        <v>47</v>
      </c>
      <c r="AB75" s="1" t="s">
        <v>36</v>
      </c>
      <c r="AC75" s="1"/>
      <c r="AD75" s="1" t="s">
        <v>37</v>
      </c>
      <c r="AE75" s="1">
        <v>60.020406938280097</v>
      </c>
      <c r="AF75" s="1" t="s">
        <v>48</v>
      </c>
    </row>
    <row r="76" spans="1:32" x14ac:dyDescent="0.35">
      <c r="A76" s="1">
        <v>67</v>
      </c>
      <c r="B76" s="1">
        <v>75</v>
      </c>
      <c r="C76" s="1">
        <v>119</v>
      </c>
      <c r="D76" s="1">
        <v>74</v>
      </c>
      <c r="E76" s="1">
        <v>4</v>
      </c>
      <c r="F76" s="1">
        <v>7</v>
      </c>
      <c r="G76" s="1" t="s">
        <v>32</v>
      </c>
      <c r="H76" s="1">
        <v>2.4138489000033498</v>
      </c>
      <c r="I76" s="1" t="s">
        <v>33</v>
      </c>
      <c r="J76" s="1">
        <v>7</v>
      </c>
      <c r="K76" s="1">
        <v>4</v>
      </c>
      <c r="L76" s="1">
        <v>74</v>
      </c>
      <c r="M76" s="1">
        <v>5</v>
      </c>
      <c r="N76" s="1">
        <v>156.90918699999699</v>
      </c>
      <c r="O76" s="1"/>
      <c r="P76" s="1">
        <v>156.899639999996</v>
      </c>
      <c r="Q76" s="1">
        <v>156.90918699999699</v>
      </c>
      <c r="R76" s="1">
        <v>157.892386599996</v>
      </c>
      <c r="S76" s="1">
        <v>157.892386599996</v>
      </c>
      <c r="T76" s="1">
        <v>157.90901289999599</v>
      </c>
      <c r="U76" s="1">
        <v>160.30929559999601</v>
      </c>
      <c r="V76" s="1" t="s">
        <v>32</v>
      </c>
      <c r="W76" s="1">
        <v>2.4138489000033498</v>
      </c>
      <c r="X76" s="1" t="s">
        <v>33</v>
      </c>
      <c r="Y76" s="1" t="s">
        <v>46</v>
      </c>
      <c r="Z76" s="1">
        <v>1</v>
      </c>
      <c r="AA76" s="1" t="s">
        <v>47</v>
      </c>
      <c r="AB76" s="1" t="s">
        <v>36</v>
      </c>
      <c r="AC76" s="1"/>
      <c r="AD76" s="1" t="s">
        <v>37</v>
      </c>
      <c r="AE76" s="1">
        <v>60.020406938280097</v>
      </c>
      <c r="AF76" s="1" t="s">
        <v>48</v>
      </c>
    </row>
    <row r="77" spans="1:32" x14ac:dyDescent="0.35">
      <c r="A77" s="1">
        <v>110</v>
      </c>
      <c r="B77" s="1">
        <v>135</v>
      </c>
      <c r="C77" s="1">
        <v>270</v>
      </c>
      <c r="D77" s="1">
        <v>75</v>
      </c>
      <c r="E77" s="1">
        <v>5</v>
      </c>
      <c r="F77" s="1">
        <v>7</v>
      </c>
      <c r="G77" s="1" t="s">
        <v>32</v>
      </c>
      <c r="H77" s="1">
        <v>1.79615689999627</v>
      </c>
      <c r="I77" s="1" t="s">
        <v>33</v>
      </c>
      <c r="J77" s="1">
        <v>7</v>
      </c>
      <c r="K77" s="1">
        <v>5</v>
      </c>
      <c r="L77" s="1">
        <v>75</v>
      </c>
      <c r="M77" s="1">
        <v>9</v>
      </c>
      <c r="N77" s="1">
        <v>160.32521659999401</v>
      </c>
      <c r="O77" s="1"/>
      <c r="P77" s="1">
        <v>160.31829889999699</v>
      </c>
      <c r="Q77" s="1">
        <v>160.32521659999401</v>
      </c>
      <c r="R77" s="1">
        <v>161.30833989999499</v>
      </c>
      <c r="S77" s="1">
        <v>161.30833989999499</v>
      </c>
      <c r="T77" s="1">
        <v>161.32506709999799</v>
      </c>
      <c r="U77" s="1">
        <v>163.10892669999799</v>
      </c>
      <c r="V77" s="1" t="s">
        <v>32</v>
      </c>
      <c r="W77" s="1">
        <v>1.79615689999627</v>
      </c>
      <c r="X77" s="1" t="s">
        <v>33</v>
      </c>
      <c r="Y77" s="1" t="s">
        <v>46</v>
      </c>
      <c r="Z77" s="1">
        <v>1</v>
      </c>
      <c r="AA77" s="1" t="s">
        <v>47</v>
      </c>
      <c r="AB77" s="1" t="s">
        <v>36</v>
      </c>
      <c r="AC77" s="1"/>
      <c r="AD77" s="1" t="s">
        <v>37</v>
      </c>
      <c r="AE77" s="1">
        <v>60.020406938280097</v>
      </c>
      <c r="AF77" s="1" t="s">
        <v>48</v>
      </c>
    </row>
    <row r="78" spans="1:32" x14ac:dyDescent="0.35">
      <c r="A78" s="1">
        <v>78</v>
      </c>
      <c r="B78" s="1">
        <v>80</v>
      </c>
      <c r="C78" s="1">
        <v>162</v>
      </c>
      <c r="D78" s="1">
        <v>76</v>
      </c>
      <c r="E78" s="1">
        <v>6</v>
      </c>
      <c r="F78" s="1">
        <v>7</v>
      </c>
      <c r="G78" s="1" t="s">
        <v>32</v>
      </c>
      <c r="H78" s="1">
        <v>0.76639979999890695</v>
      </c>
      <c r="I78" s="1" t="s">
        <v>33</v>
      </c>
      <c r="J78" s="1">
        <v>7</v>
      </c>
      <c r="K78" s="1">
        <v>6</v>
      </c>
      <c r="L78" s="1">
        <v>76</v>
      </c>
      <c r="M78" s="1">
        <v>6</v>
      </c>
      <c r="N78" s="1">
        <v>163.12456139999901</v>
      </c>
      <c r="O78" s="1"/>
      <c r="P78" s="1">
        <v>163.11631379999699</v>
      </c>
      <c r="Q78" s="1">
        <v>163.12456139999901</v>
      </c>
      <c r="R78" s="1">
        <v>164.108045099994</v>
      </c>
      <c r="S78" s="1">
        <v>164.108045099994</v>
      </c>
      <c r="T78" s="1">
        <v>164.12490450000001</v>
      </c>
      <c r="U78" s="1">
        <v>164.875514799998</v>
      </c>
      <c r="V78" s="1" t="s">
        <v>32</v>
      </c>
      <c r="W78" s="1">
        <v>0.76639979999890695</v>
      </c>
      <c r="X78" s="1" t="s">
        <v>33</v>
      </c>
      <c r="Y78" s="1" t="s">
        <v>46</v>
      </c>
      <c r="Z78" s="1">
        <v>1</v>
      </c>
      <c r="AA78" s="1" t="s">
        <v>47</v>
      </c>
      <c r="AB78" s="1" t="s">
        <v>36</v>
      </c>
      <c r="AC78" s="1"/>
      <c r="AD78" s="1" t="s">
        <v>37</v>
      </c>
      <c r="AE78" s="1">
        <v>60.020406938280097</v>
      </c>
      <c r="AF78" s="1" t="s">
        <v>48</v>
      </c>
    </row>
    <row r="79" spans="1:32" x14ac:dyDescent="0.35">
      <c r="A79" s="1">
        <v>27</v>
      </c>
      <c r="B79" s="1">
        <v>50</v>
      </c>
      <c r="C79" s="1">
        <v>21</v>
      </c>
      <c r="D79" s="1">
        <v>77</v>
      </c>
      <c r="E79" s="1">
        <v>7</v>
      </c>
      <c r="F79" s="1">
        <v>7</v>
      </c>
      <c r="G79" s="1" t="s">
        <v>32</v>
      </c>
      <c r="H79" s="1">
        <v>0.47055009999894498</v>
      </c>
      <c r="I79" s="1" t="s">
        <v>33</v>
      </c>
      <c r="J79" s="1">
        <v>7</v>
      </c>
      <c r="K79" s="1">
        <v>7</v>
      </c>
      <c r="L79" s="1">
        <v>77</v>
      </c>
      <c r="M79" s="1">
        <v>2</v>
      </c>
      <c r="N79" s="1">
        <v>164.89121169999899</v>
      </c>
      <c r="O79" s="1"/>
      <c r="P79" s="1">
        <v>164.88414199999499</v>
      </c>
      <c r="Q79" s="1">
        <v>164.89121169999899</v>
      </c>
      <c r="R79" s="1">
        <v>165.890979099996</v>
      </c>
      <c r="S79" s="1">
        <v>165.890979099996</v>
      </c>
      <c r="T79" s="1">
        <v>165.890979099996</v>
      </c>
      <c r="U79" s="1">
        <v>166.37509399999499</v>
      </c>
      <c r="V79" s="1" t="s">
        <v>32</v>
      </c>
      <c r="W79" s="1">
        <v>0.47055009999894498</v>
      </c>
      <c r="X79" s="1" t="s">
        <v>33</v>
      </c>
      <c r="Y79" s="1" t="s">
        <v>46</v>
      </c>
      <c r="Z79" s="1">
        <v>1</v>
      </c>
      <c r="AA79" s="1" t="s">
        <v>47</v>
      </c>
      <c r="AB79" s="1" t="s">
        <v>36</v>
      </c>
      <c r="AC79" s="1"/>
      <c r="AD79" s="1" t="s">
        <v>37</v>
      </c>
      <c r="AE79" s="1">
        <v>60.020406938280097</v>
      </c>
      <c r="AF79" s="1" t="s">
        <v>48</v>
      </c>
    </row>
    <row r="80" spans="1:32" x14ac:dyDescent="0.35">
      <c r="A80" s="1">
        <v>49</v>
      </c>
      <c r="B80" s="1">
        <v>60</v>
      </c>
      <c r="C80" s="1">
        <v>89</v>
      </c>
      <c r="D80" s="1">
        <v>78</v>
      </c>
      <c r="E80" s="1">
        <v>8</v>
      </c>
      <c r="F80" s="1">
        <v>7</v>
      </c>
      <c r="G80" s="1" t="s">
        <v>32</v>
      </c>
      <c r="H80" s="1">
        <v>0.40863289999833702</v>
      </c>
      <c r="I80" s="1" t="s">
        <v>33</v>
      </c>
      <c r="J80" s="1">
        <v>7</v>
      </c>
      <c r="K80" s="1">
        <v>8</v>
      </c>
      <c r="L80" s="1">
        <v>78</v>
      </c>
      <c r="M80" s="1">
        <v>4</v>
      </c>
      <c r="N80" s="1">
        <v>166.39081709999999</v>
      </c>
      <c r="O80" s="1"/>
      <c r="P80" s="1">
        <v>166.381926499998</v>
      </c>
      <c r="Q80" s="1">
        <v>166.39081709999999</v>
      </c>
      <c r="R80" s="1">
        <v>167.37424709999999</v>
      </c>
      <c r="S80" s="1">
        <v>167.37424709999999</v>
      </c>
      <c r="T80" s="1">
        <v>167.39071680000001</v>
      </c>
      <c r="U80" s="1">
        <v>167.79177379999601</v>
      </c>
      <c r="V80" s="1" t="s">
        <v>32</v>
      </c>
      <c r="W80" s="1">
        <v>0.40863289999833702</v>
      </c>
      <c r="X80" s="1" t="s">
        <v>33</v>
      </c>
      <c r="Y80" s="1" t="s">
        <v>46</v>
      </c>
      <c r="Z80" s="1">
        <v>1</v>
      </c>
      <c r="AA80" s="1" t="s">
        <v>47</v>
      </c>
      <c r="AB80" s="1" t="s">
        <v>36</v>
      </c>
      <c r="AC80" s="1"/>
      <c r="AD80" s="1" t="s">
        <v>37</v>
      </c>
      <c r="AE80" s="1">
        <v>60.020406938280097</v>
      </c>
      <c r="AF80" s="1" t="s">
        <v>48</v>
      </c>
    </row>
    <row r="81" spans="1:32" x14ac:dyDescent="0.35">
      <c r="A81" s="1">
        <v>88</v>
      </c>
      <c r="B81" s="1">
        <v>105</v>
      </c>
      <c r="C81" s="1">
        <v>200</v>
      </c>
      <c r="D81" s="1">
        <v>79</v>
      </c>
      <c r="E81" s="1">
        <v>9</v>
      </c>
      <c r="F81" s="1">
        <v>7</v>
      </c>
      <c r="G81" s="1" t="s">
        <v>32</v>
      </c>
      <c r="H81" s="1">
        <v>0.62851360000058698</v>
      </c>
      <c r="I81" s="1" t="s">
        <v>33</v>
      </c>
      <c r="J81" s="1">
        <v>7</v>
      </c>
      <c r="K81" s="1">
        <v>9</v>
      </c>
      <c r="L81" s="1">
        <v>79</v>
      </c>
      <c r="M81" s="1">
        <v>7</v>
      </c>
      <c r="N81" s="1">
        <v>167.807142499994</v>
      </c>
      <c r="O81" s="1"/>
      <c r="P81" s="1">
        <v>167.80043649999399</v>
      </c>
      <c r="Q81" s="1">
        <v>167.807142499994</v>
      </c>
      <c r="R81" s="1">
        <v>168.8072885</v>
      </c>
      <c r="S81" s="1">
        <v>168.8072885</v>
      </c>
      <c r="T81" s="1">
        <v>168.8072885</v>
      </c>
      <c r="U81" s="1">
        <v>169.44104179999701</v>
      </c>
      <c r="V81" s="1" t="s">
        <v>32</v>
      </c>
      <c r="W81" s="1">
        <v>0.62851360000058698</v>
      </c>
      <c r="X81" s="1" t="s">
        <v>33</v>
      </c>
      <c r="Y81" s="1" t="s">
        <v>46</v>
      </c>
      <c r="Z81" s="1">
        <v>1</v>
      </c>
      <c r="AA81" s="1" t="s">
        <v>47</v>
      </c>
      <c r="AB81" s="1" t="s">
        <v>36</v>
      </c>
      <c r="AC81" s="1"/>
      <c r="AD81" s="1" t="s">
        <v>37</v>
      </c>
      <c r="AE81" s="1">
        <v>60.020406938280097</v>
      </c>
      <c r="AF81" s="1" t="s">
        <v>48</v>
      </c>
    </row>
    <row r="82" spans="1:32" x14ac:dyDescent="0.35">
      <c r="A82" s="1">
        <v>88</v>
      </c>
      <c r="B82" s="1">
        <v>105</v>
      </c>
      <c r="C82" s="1">
        <v>200</v>
      </c>
      <c r="D82" s="1">
        <v>80</v>
      </c>
      <c r="E82" s="1">
        <v>0</v>
      </c>
      <c r="F82" s="1">
        <v>8</v>
      </c>
      <c r="G82" s="1" t="s">
        <v>32</v>
      </c>
      <c r="H82" s="1">
        <v>0.52463949999946602</v>
      </c>
      <c r="I82" s="1" t="s">
        <v>33</v>
      </c>
      <c r="J82" s="1">
        <v>8</v>
      </c>
      <c r="K82" s="1">
        <v>0</v>
      </c>
      <c r="L82" s="1">
        <v>80</v>
      </c>
      <c r="M82" s="1">
        <v>7</v>
      </c>
      <c r="N82" s="1">
        <v>169.45721719999699</v>
      </c>
      <c r="O82" s="1"/>
      <c r="P82" s="1">
        <v>169.441311799993</v>
      </c>
      <c r="Q82" s="1">
        <v>169.45721719999699</v>
      </c>
      <c r="R82" s="1">
        <v>170.44033659999599</v>
      </c>
      <c r="S82" s="1">
        <v>170.44033659999599</v>
      </c>
      <c r="T82" s="1">
        <v>170.457046799994</v>
      </c>
      <c r="U82" s="1">
        <v>170.97412519999401</v>
      </c>
      <c r="V82" s="1" t="s">
        <v>32</v>
      </c>
      <c r="W82" s="1">
        <v>0.52463949999946602</v>
      </c>
      <c r="X82" s="1" t="s">
        <v>33</v>
      </c>
      <c r="Y82" s="1" t="s">
        <v>46</v>
      </c>
      <c r="Z82" s="1">
        <v>1</v>
      </c>
      <c r="AA82" s="1" t="s">
        <v>47</v>
      </c>
      <c r="AB82" s="1" t="s">
        <v>36</v>
      </c>
      <c r="AC82" s="1"/>
      <c r="AD82" s="1" t="s">
        <v>37</v>
      </c>
      <c r="AE82" s="1">
        <v>60.020406938280097</v>
      </c>
      <c r="AF82" s="1" t="s">
        <v>48</v>
      </c>
    </row>
    <row r="83" spans="1:32" x14ac:dyDescent="0.35">
      <c r="A83" s="1">
        <v>110</v>
      </c>
      <c r="B83" s="1">
        <v>135</v>
      </c>
      <c r="C83" s="1">
        <v>270</v>
      </c>
      <c r="D83" s="1">
        <v>81</v>
      </c>
      <c r="E83" s="1">
        <v>1</v>
      </c>
      <c r="F83" s="1">
        <v>8</v>
      </c>
      <c r="G83" s="1" t="s">
        <v>32</v>
      </c>
      <c r="H83" s="1">
        <v>0.60687869999674104</v>
      </c>
      <c r="I83" s="1" t="s">
        <v>33</v>
      </c>
      <c r="J83" s="1">
        <v>8</v>
      </c>
      <c r="K83" s="1">
        <v>1</v>
      </c>
      <c r="L83" s="1">
        <v>81</v>
      </c>
      <c r="M83" s="1">
        <v>9</v>
      </c>
      <c r="N83" s="1">
        <v>170.990182099994</v>
      </c>
      <c r="O83" s="1"/>
      <c r="P83" s="1">
        <v>170.98036389999399</v>
      </c>
      <c r="Q83" s="1">
        <v>170.990182099994</v>
      </c>
      <c r="R83" s="1">
        <v>171.97333749999899</v>
      </c>
      <c r="S83" s="1">
        <v>171.97333749999899</v>
      </c>
      <c r="T83" s="1">
        <v>171.99056179999701</v>
      </c>
      <c r="U83" s="1">
        <v>172.59056079999499</v>
      </c>
      <c r="V83" s="1" t="s">
        <v>32</v>
      </c>
      <c r="W83" s="1">
        <v>0.60687869999674104</v>
      </c>
      <c r="X83" s="1" t="s">
        <v>33</v>
      </c>
      <c r="Y83" s="1" t="s">
        <v>46</v>
      </c>
      <c r="Z83" s="1">
        <v>1</v>
      </c>
      <c r="AA83" s="1" t="s">
        <v>47</v>
      </c>
      <c r="AB83" s="1" t="s">
        <v>36</v>
      </c>
      <c r="AC83" s="1"/>
      <c r="AD83" s="1" t="s">
        <v>37</v>
      </c>
      <c r="AE83" s="1">
        <v>60.020406938280097</v>
      </c>
      <c r="AF83" s="1" t="s">
        <v>48</v>
      </c>
    </row>
    <row r="84" spans="1:32" x14ac:dyDescent="0.35">
      <c r="A84" s="1">
        <v>11</v>
      </c>
      <c r="B84" s="1">
        <v>30</v>
      </c>
      <c r="C84" s="1">
        <v>7</v>
      </c>
      <c r="D84" s="1">
        <v>82</v>
      </c>
      <c r="E84" s="1">
        <v>2</v>
      </c>
      <c r="F84" s="1">
        <v>8</v>
      </c>
      <c r="G84" s="1" t="s">
        <v>39</v>
      </c>
      <c r="H84" s="1">
        <v>1.1928638000026599</v>
      </c>
      <c r="I84" s="1" t="s">
        <v>33</v>
      </c>
      <c r="J84" s="1">
        <v>8</v>
      </c>
      <c r="K84" s="1">
        <v>2</v>
      </c>
      <c r="L84" s="1">
        <v>82</v>
      </c>
      <c r="M84" s="1">
        <v>0</v>
      </c>
      <c r="N84" s="1">
        <v>172.606592899996</v>
      </c>
      <c r="O84" s="1"/>
      <c r="P84" s="1">
        <v>172.59582929999999</v>
      </c>
      <c r="Q84" s="1">
        <v>172.606592899996</v>
      </c>
      <c r="R84" s="1">
        <v>173.58979879999899</v>
      </c>
      <c r="S84" s="1">
        <v>173.58979879999899</v>
      </c>
      <c r="T84" s="1">
        <v>173.60641729999699</v>
      </c>
      <c r="U84" s="1">
        <v>174.790093699994</v>
      </c>
      <c r="V84" s="1" t="s">
        <v>39</v>
      </c>
      <c r="W84" s="1">
        <v>1.1928638000026599</v>
      </c>
      <c r="X84" s="1" t="s">
        <v>33</v>
      </c>
      <c r="Y84" s="1" t="s">
        <v>46</v>
      </c>
      <c r="Z84" s="1">
        <v>1</v>
      </c>
      <c r="AA84" s="1" t="s">
        <v>47</v>
      </c>
      <c r="AB84" s="1" t="s">
        <v>36</v>
      </c>
      <c r="AC84" s="1"/>
      <c r="AD84" s="1" t="s">
        <v>37</v>
      </c>
      <c r="AE84" s="1">
        <v>60.020406938280097</v>
      </c>
      <c r="AF84" s="1" t="s">
        <v>48</v>
      </c>
    </row>
    <row r="85" spans="1:32" x14ac:dyDescent="0.35">
      <c r="A85" s="1">
        <v>49</v>
      </c>
      <c r="B85" s="1">
        <v>60</v>
      </c>
      <c r="C85" s="1">
        <v>89</v>
      </c>
      <c r="D85" s="1">
        <v>83</v>
      </c>
      <c r="E85" s="1">
        <v>3</v>
      </c>
      <c r="F85" s="1">
        <v>8</v>
      </c>
      <c r="G85" s="1" t="s">
        <v>32</v>
      </c>
      <c r="H85" s="1">
        <v>0.91585750000376698</v>
      </c>
      <c r="I85" s="1" t="s">
        <v>33</v>
      </c>
      <c r="J85" s="1">
        <v>8</v>
      </c>
      <c r="K85" s="1">
        <v>3</v>
      </c>
      <c r="L85" s="1">
        <v>83</v>
      </c>
      <c r="M85" s="1">
        <v>4</v>
      </c>
      <c r="N85" s="1">
        <v>174.806772199997</v>
      </c>
      <c r="O85" s="1"/>
      <c r="P85" s="1">
        <v>174.79445669999399</v>
      </c>
      <c r="Q85" s="1">
        <v>174.806772199997</v>
      </c>
      <c r="R85" s="1">
        <v>175.78923849999401</v>
      </c>
      <c r="S85" s="1">
        <v>175.78923849999401</v>
      </c>
      <c r="T85" s="1">
        <v>175.80610739999901</v>
      </c>
      <c r="U85" s="1">
        <v>176.7066749</v>
      </c>
      <c r="V85" s="1" t="s">
        <v>32</v>
      </c>
      <c r="W85" s="1">
        <v>0.91585750000376698</v>
      </c>
      <c r="X85" s="1" t="s">
        <v>33</v>
      </c>
      <c r="Y85" s="1" t="s">
        <v>46</v>
      </c>
      <c r="Z85" s="1">
        <v>1</v>
      </c>
      <c r="AA85" s="1" t="s">
        <v>47</v>
      </c>
      <c r="AB85" s="1" t="s">
        <v>36</v>
      </c>
      <c r="AC85" s="1"/>
      <c r="AD85" s="1" t="s">
        <v>37</v>
      </c>
      <c r="AE85" s="1">
        <v>60.020406938280097</v>
      </c>
      <c r="AF85" s="1" t="s">
        <v>48</v>
      </c>
    </row>
    <row r="86" spans="1:32" x14ac:dyDescent="0.35">
      <c r="A86" s="1">
        <v>98</v>
      </c>
      <c r="B86" s="1">
        <v>120</v>
      </c>
      <c r="C86" s="1">
        <v>230</v>
      </c>
      <c r="D86" s="1">
        <v>84</v>
      </c>
      <c r="E86" s="1">
        <v>4</v>
      </c>
      <c r="F86" s="1">
        <v>8</v>
      </c>
      <c r="G86" s="1" t="s">
        <v>32</v>
      </c>
      <c r="H86" s="1">
        <v>0.43838459999824397</v>
      </c>
      <c r="I86" s="1" t="s">
        <v>33</v>
      </c>
      <c r="J86" s="1">
        <v>8</v>
      </c>
      <c r="K86" s="1">
        <v>4</v>
      </c>
      <c r="L86" s="1">
        <v>84</v>
      </c>
      <c r="M86" s="1">
        <v>8</v>
      </c>
      <c r="N86" s="1">
        <v>176.739206099999</v>
      </c>
      <c r="O86" s="1"/>
      <c r="P86" s="1">
        <v>176.71687769999599</v>
      </c>
      <c r="Q86" s="1">
        <v>176.739206099999</v>
      </c>
      <c r="R86" s="1">
        <v>177.72227109999901</v>
      </c>
      <c r="S86" s="1">
        <v>177.72227109999901</v>
      </c>
      <c r="T86" s="1">
        <v>177.73899829999499</v>
      </c>
      <c r="U86" s="1">
        <v>178.17333849999699</v>
      </c>
      <c r="V86" s="1" t="s">
        <v>32</v>
      </c>
      <c r="W86" s="1">
        <v>0.43838459999824397</v>
      </c>
      <c r="X86" s="1" t="s">
        <v>33</v>
      </c>
      <c r="Y86" s="1" t="s">
        <v>46</v>
      </c>
      <c r="Z86" s="1">
        <v>1</v>
      </c>
      <c r="AA86" s="1" t="s">
        <v>47</v>
      </c>
      <c r="AB86" s="1" t="s">
        <v>36</v>
      </c>
      <c r="AC86" s="1"/>
      <c r="AD86" s="1" t="s">
        <v>37</v>
      </c>
      <c r="AE86" s="1">
        <v>60.020406938280097</v>
      </c>
      <c r="AF86" s="1" t="s">
        <v>48</v>
      </c>
    </row>
    <row r="87" spans="1:32" x14ac:dyDescent="0.35">
      <c r="A87" s="1">
        <v>27</v>
      </c>
      <c r="B87" s="1">
        <v>50</v>
      </c>
      <c r="C87" s="1">
        <v>21</v>
      </c>
      <c r="D87" s="1">
        <v>85</v>
      </c>
      <c r="E87" s="1">
        <v>5</v>
      </c>
      <c r="F87" s="1">
        <v>8</v>
      </c>
      <c r="G87" s="1" t="s">
        <v>32</v>
      </c>
      <c r="H87" s="1">
        <v>0.35654269999940802</v>
      </c>
      <c r="I87" s="1" t="s">
        <v>33</v>
      </c>
      <c r="J87" s="1">
        <v>8</v>
      </c>
      <c r="K87" s="1">
        <v>5</v>
      </c>
      <c r="L87" s="1">
        <v>85</v>
      </c>
      <c r="M87" s="1">
        <v>2</v>
      </c>
      <c r="N87" s="1">
        <v>178.189007399996</v>
      </c>
      <c r="O87" s="1"/>
      <c r="P87" s="1">
        <v>178.180724400001</v>
      </c>
      <c r="Q87" s="1">
        <v>178.189007399996</v>
      </c>
      <c r="R87" s="1">
        <v>179.172310399997</v>
      </c>
      <c r="S87" s="1">
        <v>179.172310399997</v>
      </c>
      <c r="T87" s="1">
        <v>179.18901589999501</v>
      </c>
      <c r="U87" s="1">
        <v>179.53964789999699</v>
      </c>
      <c r="V87" s="1" t="s">
        <v>32</v>
      </c>
      <c r="W87" s="1">
        <v>0.35654269999940802</v>
      </c>
      <c r="X87" s="1" t="s">
        <v>33</v>
      </c>
      <c r="Y87" s="1" t="s">
        <v>46</v>
      </c>
      <c r="Z87" s="1">
        <v>1</v>
      </c>
      <c r="AA87" s="1" t="s">
        <v>47</v>
      </c>
      <c r="AB87" s="1" t="s">
        <v>36</v>
      </c>
      <c r="AC87" s="1"/>
      <c r="AD87" s="1" t="s">
        <v>37</v>
      </c>
      <c r="AE87" s="1">
        <v>60.020406938280097</v>
      </c>
      <c r="AF87" s="1" t="s">
        <v>48</v>
      </c>
    </row>
    <row r="88" spans="1:32" x14ac:dyDescent="0.35">
      <c r="A88" s="1">
        <v>78</v>
      </c>
      <c r="B88" s="1">
        <v>80</v>
      </c>
      <c r="C88" s="1">
        <v>162</v>
      </c>
      <c r="D88" s="1">
        <v>86</v>
      </c>
      <c r="E88" s="1">
        <v>6</v>
      </c>
      <c r="F88" s="1">
        <v>8</v>
      </c>
      <c r="G88" s="1" t="s">
        <v>32</v>
      </c>
      <c r="H88" s="1">
        <v>0.42160829999920602</v>
      </c>
      <c r="I88" s="1" t="s">
        <v>33</v>
      </c>
      <c r="J88" s="1">
        <v>8</v>
      </c>
      <c r="K88" s="1">
        <v>6</v>
      </c>
      <c r="L88" s="1">
        <v>86</v>
      </c>
      <c r="M88" s="1">
        <v>6</v>
      </c>
      <c r="N88" s="1">
        <v>179.555448899998</v>
      </c>
      <c r="O88" s="1"/>
      <c r="P88" s="1">
        <v>179.54605799999899</v>
      </c>
      <c r="Q88" s="1">
        <v>179.555448899998</v>
      </c>
      <c r="R88" s="1">
        <v>180.55530899999499</v>
      </c>
      <c r="S88" s="1">
        <v>180.55530899999499</v>
      </c>
      <c r="T88" s="1">
        <v>180.55530899999499</v>
      </c>
      <c r="U88" s="1">
        <v>180.98962949999901</v>
      </c>
      <c r="V88" s="1" t="s">
        <v>32</v>
      </c>
      <c r="W88" s="1">
        <v>0.42160829999920602</v>
      </c>
      <c r="X88" s="1" t="s">
        <v>33</v>
      </c>
      <c r="Y88" s="1" t="s">
        <v>46</v>
      </c>
      <c r="Z88" s="1">
        <v>1</v>
      </c>
      <c r="AA88" s="1" t="s">
        <v>47</v>
      </c>
      <c r="AB88" s="1" t="s">
        <v>36</v>
      </c>
      <c r="AC88" s="1"/>
      <c r="AD88" s="1" t="s">
        <v>37</v>
      </c>
      <c r="AE88" s="1">
        <v>60.020406938280097</v>
      </c>
      <c r="AF88" s="1" t="s">
        <v>48</v>
      </c>
    </row>
    <row r="89" spans="1:32" x14ac:dyDescent="0.35">
      <c r="A89" s="1">
        <v>40</v>
      </c>
      <c r="B89" s="1">
        <v>55</v>
      </c>
      <c r="C89" s="1">
        <v>62</v>
      </c>
      <c r="D89" s="1">
        <v>87</v>
      </c>
      <c r="E89" s="1">
        <v>7</v>
      </c>
      <c r="F89" s="1">
        <v>8</v>
      </c>
      <c r="G89" s="1" t="s">
        <v>32</v>
      </c>
      <c r="H89" s="1">
        <v>1.1556472999945899</v>
      </c>
      <c r="I89" s="1" t="s">
        <v>33</v>
      </c>
      <c r="J89" s="1">
        <v>8</v>
      </c>
      <c r="K89" s="1">
        <v>7</v>
      </c>
      <c r="L89" s="1">
        <v>87</v>
      </c>
      <c r="M89" s="1">
        <v>3</v>
      </c>
      <c r="N89" s="1">
        <v>181.00516839999901</v>
      </c>
      <c r="O89" s="1"/>
      <c r="P89" s="1">
        <v>180.99533410000001</v>
      </c>
      <c r="Q89" s="1">
        <v>181.00516839999901</v>
      </c>
      <c r="R89" s="1">
        <v>181.98828409999899</v>
      </c>
      <c r="S89" s="1">
        <v>181.98828409999899</v>
      </c>
      <c r="T89" s="1">
        <v>182.005790799994</v>
      </c>
      <c r="U89" s="1">
        <v>183.156162399995</v>
      </c>
      <c r="V89" s="1" t="s">
        <v>32</v>
      </c>
      <c r="W89" s="1">
        <v>1.1556472999945899</v>
      </c>
      <c r="X89" s="1" t="s">
        <v>33</v>
      </c>
      <c r="Y89" s="1" t="s">
        <v>46</v>
      </c>
      <c r="Z89" s="1">
        <v>1</v>
      </c>
      <c r="AA89" s="1" t="s">
        <v>47</v>
      </c>
      <c r="AB89" s="1" t="s">
        <v>36</v>
      </c>
      <c r="AC89" s="1"/>
      <c r="AD89" s="1" t="s">
        <v>37</v>
      </c>
      <c r="AE89" s="1">
        <v>60.020406938280097</v>
      </c>
      <c r="AF89" s="1" t="s">
        <v>48</v>
      </c>
    </row>
    <row r="90" spans="1:32" x14ac:dyDescent="0.35">
      <c r="A90" s="1">
        <v>15</v>
      </c>
      <c r="B90" s="1">
        <v>35</v>
      </c>
      <c r="C90" s="1">
        <v>13</v>
      </c>
      <c r="D90" s="1">
        <v>88</v>
      </c>
      <c r="E90" s="1">
        <v>8</v>
      </c>
      <c r="F90" s="1">
        <v>8</v>
      </c>
      <c r="G90" s="1" t="s">
        <v>39</v>
      </c>
      <c r="H90" s="1">
        <v>1.32369290000497</v>
      </c>
      <c r="I90" s="1" t="s">
        <v>33</v>
      </c>
      <c r="J90" s="1">
        <v>8</v>
      </c>
      <c r="K90" s="1">
        <v>8</v>
      </c>
      <c r="L90" s="1">
        <v>88</v>
      </c>
      <c r="M90" s="1">
        <v>1</v>
      </c>
      <c r="N90" s="1">
        <v>183.17141439999901</v>
      </c>
      <c r="O90" s="1"/>
      <c r="P90" s="1">
        <v>183.16319999999499</v>
      </c>
      <c r="Q90" s="1">
        <v>183.17141439999901</v>
      </c>
      <c r="R90" s="1">
        <v>184.171330699995</v>
      </c>
      <c r="S90" s="1">
        <v>184.171330699995</v>
      </c>
      <c r="T90" s="1">
        <v>184.171330699995</v>
      </c>
      <c r="U90" s="1">
        <v>185.50588309999799</v>
      </c>
      <c r="V90" s="1" t="s">
        <v>39</v>
      </c>
      <c r="W90" s="1">
        <v>1.32369290000497</v>
      </c>
      <c r="X90" s="1" t="s">
        <v>33</v>
      </c>
      <c r="Y90" s="1" t="s">
        <v>46</v>
      </c>
      <c r="Z90" s="1">
        <v>1</v>
      </c>
      <c r="AA90" s="1" t="s">
        <v>47</v>
      </c>
      <c r="AB90" s="1" t="s">
        <v>36</v>
      </c>
      <c r="AC90" s="1"/>
      <c r="AD90" s="1" t="s">
        <v>37</v>
      </c>
      <c r="AE90" s="1">
        <v>60.020406938280097</v>
      </c>
      <c r="AF90" s="1" t="s">
        <v>48</v>
      </c>
    </row>
    <row r="91" spans="1:32" x14ac:dyDescent="0.35">
      <c r="A91" s="1">
        <v>67</v>
      </c>
      <c r="B91" s="1">
        <v>75</v>
      </c>
      <c r="C91" s="1">
        <v>119</v>
      </c>
      <c r="D91" s="1">
        <v>89</v>
      </c>
      <c r="E91" s="1">
        <v>9</v>
      </c>
      <c r="F91" s="1">
        <v>8</v>
      </c>
      <c r="G91" s="1" t="s">
        <v>32</v>
      </c>
      <c r="H91" s="1">
        <v>1.0311230000006599</v>
      </c>
      <c r="I91" s="1" t="s">
        <v>33</v>
      </c>
      <c r="J91" s="1">
        <v>8</v>
      </c>
      <c r="K91" s="1">
        <v>9</v>
      </c>
      <c r="L91" s="1">
        <v>89</v>
      </c>
      <c r="M91" s="1">
        <v>5</v>
      </c>
      <c r="N91" s="1">
        <v>185.52148969999601</v>
      </c>
      <c r="O91" s="1"/>
      <c r="P91" s="1">
        <v>185.51032199999401</v>
      </c>
      <c r="Q91" s="1">
        <v>185.52148969999601</v>
      </c>
      <c r="R91" s="1">
        <v>186.521348199996</v>
      </c>
      <c r="S91" s="1">
        <v>186.521348199996</v>
      </c>
      <c r="T91" s="1">
        <v>186.521348199996</v>
      </c>
      <c r="U91" s="1">
        <v>187.55478839999699</v>
      </c>
      <c r="V91" s="1" t="s">
        <v>32</v>
      </c>
      <c r="W91" s="1">
        <v>1.0311230000006599</v>
      </c>
      <c r="X91" s="1" t="s">
        <v>33</v>
      </c>
      <c r="Y91" s="1" t="s">
        <v>46</v>
      </c>
      <c r="Z91" s="1">
        <v>1</v>
      </c>
      <c r="AA91" s="1" t="s">
        <v>47</v>
      </c>
      <c r="AB91" s="1" t="s">
        <v>36</v>
      </c>
      <c r="AC91" s="1"/>
      <c r="AD91" s="1" t="s">
        <v>37</v>
      </c>
      <c r="AE91" s="1">
        <v>60.020406938280097</v>
      </c>
      <c r="AF91" s="1" t="s">
        <v>48</v>
      </c>
    </row>
    <row r="92" spans="1:32" x14ac:dyDescent="0.35">
      <c r="A92" s="1">
        <v>27</v>
      </c>
      <c r="B92" s="1">
        <v>50</v>
      </c>
      <c r="C92" s="1">
        <v>21</v>
      </c>
      <c r="D92" s="1">
        <v>90</v>
      </c>
      <c r="E92" s="1">
        <v>0</v>
      </c>
      <c r="F92" s="1">
        <v>9</v>
      </c>
      <c r="G92" s="1" t="s">
        <v>32</v>
      </c>
      <c r="H92" s="1">
        <v>0.30390440000337499</v>
      </c>
      <c r="I92" s="1" t="s">
        <v>33</v>
      </c>
      <c r="J92" s="1">
        <v>9</v>
      </c>
      <c r="K92" s="1">
        <v>0</v>
      </c>
      <c r="L92" s="1">
        <v>90</v>
      </c>
      <c r="M92" s="1">
        <v>2</v>
      </c>
      <c r="N92" s="1">
        <v>187.57068489999801</v>
      </c>
      <c r="O92" s="1"/>
      <c r="P92" s="1">
        <v>187.56105199999701</v>
      </c>
      <c r="Q92" s="1">
        <v>187.57068489999801</v>
      </c>
      <c r="R92" s="1">
        <v>188.55435449999601</v>
      </c>
      <c r="S92" s="1">
        <v>188.55435449999601</v>
      </c>
      <c r="T92" s="1">
        <v>188.571588699996</v>
      </c>
      <c r="U92" s="1">
        <v>188.8712562</v>
      </c>
      <c r="V92" s="1" t="s">
        <v>32</v>
      </c>
      <c r="W92" s="1">
        <v>0.30390440000337499</v>
      </c>
      <c r="X92" s="1" t="s">
        <v>33</v>
      </c>
      <c r="Y92" s="1" t="s">
        <v>46</v>
      </c>
      <c r="Z92" s="1">
        <v>1</v>
      </c>
      <c r="AA92" s="1" t="s">
        <v>47</v>
      </c>
      <c r="AB92" s="1" t="s">
        <v>36</v>
      </c>
      <c r="AC92" s="1"/>
      <c r="AD92" s="1" t="s">
        <v>37</v>
      </c>
      <c r="AE92" s="1">
        <v>60.020406938280097</v>
      </c>
      <c r="AF92" s="1" t="s">
        <v>48</v>
      </c>
    </row>
    <row r="93" spans="1:32" x14ac:dyDescent="0.35">
      <c r="A93" s="1">
        <v>67</v>
      </c>
      <c r="B93" s="1">
        <v>75</v>
      </c>
      <c r="C93" s="1">
        <v>119</v>
      </c>
      <c r="D93" s="1">
        <v>91</v>
      </c>
      <c r="E93" s="1">
        <v>1</v>
      </c>
      <c r="F93" s="1">
        <v>9</v>
      </c>
      <c r="G93" s="1" t="s">
        <v>32</v>
      </c>
      <c r="H93" s="1">
        <v>0.30605880000075503</v>
      </c>
      <c r="I93" s="1" t="s">
        <v>33</v>
      </c>
      <c r="J93" s="1">
        <v>9</v>
      </c>
      <c r="K93" s="1">
        <v>1</v>
      </c>
      <c r="L93" s="1">
        <v>91</v>
      </c>
      <c r="M93" s="1">
        <v>5</v>
      </c>
      <c r="N93" s="1">
        <v>188.88733559999599</v>
      </c>
      <c r="O93" s="1"/>
      <c r="P93" s="1">
        <v>188.87657239999601</v>
      </c>
      <c r="Q93" s="1">
        <v>188.88733559999599</v>
      </c>
      <c r="R93" s="1">
        <v>189.870469499997</v>
      </c>
      <c r="S93" s="1">
        <v>189.870469499997</v>
      </c>
      <c r="T93" s="1">
        <v>189.88717750000001</v>
      </c>
      <c r="U93" s="1">
        <v>190.18815019999599</v>
      </c>
      <c r="V93" s="1" t="s">
        <v>32</v>
      </c>
      <c r="W93" s="1">
        <v>0.30605880000075503</v>
      </c>
      <c r="X93" s="1" t="s">
        <v>33</v>
      </c>
      <c r="Y93" s="1" t="s">
        <v>46</v>
      </c>
      <c r="Z93" s="1">
        <v>1</v>
      </c>
      <c r="AA93" s="1" t="s">
        <v>47</v>
      </c>
      <c r="AB93" s="1" t="s">
        <v>36</v>
      </c>
      <c r="AC93" s="1"/>
      <c r="AD93" s="1" t="s">
        <v>37</v>
      </c>
      <c r="AE93" s="1">
        <v>60.020406938280097</v>
      </c>
      <c r="AF93" s="1" t="s">
        <v>48</v>
      </c>
    </row>
    <row r="94" spans="1:32" x14ac:dyDescent="0.35">
      <c r="A94" s="1">
        <v>49</v>
      </c>
      <c r="B94" s="1">
        <v>60</v>
      </c>
      <c r="C94" s="1">
        <v>89</v>
      </c>
      <c r="D94" s="1">
        <v>92</v>
      </c>
      <c r="E94" s="1">
        <v>2</v>
      </c>
      <c r="F94" s="1">
        <v>9</v>
      </c>
      <c r="G94" s="1" t="s">
        <v>32</v>
      </c>
      <c r="H94" s="1">
        <v>0.37673840000206799</v>
      </c>
      <c r="I94" s="1" t="s">
        <v>33</v>
      </c>
      <c r="J94" s="1">
        <v>9</v>
      </c>
      <c r="K94" s="1">
        <v>2</v>
      </c>
      <c r="L94" s="1">
        <v>92</v>
      </c>
      <c r="M94" s="1">
        <v>4</v>
      </c>
      <c r="N94" s="1">
        <v>190.22039569999399</v>
      </c>
      <c r="O94" s="1"/>
      <c r="P94" s="1">
        <v>190.2000779</v>
      </c>
      <c r="Q94" s="1">
        <v>190.22039569999399</v>
      </c>
      <c r="R94" s="1">
        <v>191.20359589999799</v>
      </c>
      <c r="S94" s="1">
        <v>191.20359589999799</v>
      </c>
      <c r="T94" s="1">
        <v>191.220244999996</v>
      </c>
      <c r="U94" s="1">
        <v>191.587813599995</v>
      </c>
      <c r="V94" s="1" t="s">
        <v>32</v>
      </c>
      <c r="W94" s="1">
        <v>0.37673840000206799</v>
      </c>
      <c r="X94" s="1" t="s">
        <v>33</v>
      </c>
      <c r="Y94" s="1" t="s">
        <v>46</v>
      </c>
      <c r="Z94" s="1">
        <v>1</v>
      </c>
      <c r="AA94" s="1" t="s">
        <v>47</v>
      </c>
      <c r="AB94" s="1" t="s">
        <v>36</v>
      </c>
      <c r="AC94" s="1"/>
      <c r="AD94" s="1" t="s">
        <v>37</v>
      </c>
      <c r="AE94" s="1">
        <v>60.020406938280097</v>
      </c>
      <c r="AF94" s="1" t="s">
        <v>48</v>
      </c>
    </row>
    <row r="95" spans="1:32" x14ac:dyDescent="0.35">
      <c r="A95" s="1">
        <v>98</v>
      </c>
      <c r="B95" s="1">
        <v>120</v>
      </c>
      <c r="C95" s="1">
        <v>230</v>
      </c>
      <c r="D95" s="1">
        <v>93</v>
      </c>
      <c r="E95" s="1">
        <v>3</v>
      </c>
      <c r="F95" s="1">
        <v>9</v>
      </c>
      <c r="G95" s="1" t="s">
        <v>32</v>
      </c>
      <c r="H95" s="1">
        <v>0.46969060000265</v>
      </c>
      <c r="I95" s="1" t="s">
        <v>33</v>
      </c>
      <c r="J95" s="1">
        <v>9</v>
      </c>
      <c r="K95" s="1">
        <v>3</v>
      </c>
      <c r="L95" s="1">
        <v>93</v>
      </c>
      <c r="M95" s="1">
        <v>8</v>
      </c>
      <c r="N95" s="1">
        <v>191.603364299997</v>
      </c>
      <c r="O95" s="1"/>
      <c r="P95" s="1">
        <v>191.59408709999801</v>
      </c>
      <c r="Q95" s="1">
        <v>191.603364299997</v>
      </c>
      <c r="R95" s="1">
        <v>192.587110099993</v>
      </c>
      <c r="S95" s="1">
        <v>192.587110099993</v>
      </c>
      <c r="T95" s="1">
        <v>192.60405689999601</v>
      </c>
      <c r="U95" s="1">
        <v>193.071214499999</v>
      </c>
      <c r="V95" s="1" t="s">
        <v>32</v>
      </c>
      <c r="W95" s="1">
        <v>0.46969060000265</v>
      </c>
      <c r="X95" s="1" t="s">
        <v>33</v>
      </c>
      <c r="Y95" s="1" t="s">
        <v>46</v>
      </c>
      <c r="Z95" s="1">
        <v>1</v>
      </c>
      <c r="AA95" s="1" t="s">
        <v>47</v>
      </c>
      <c r="AB95" s="1" t="s">
        <v>36</v>
      </c>
      <c r="AC95" s="1"/>
      <c r="AD95" s="1" t="s">
        <v>37</v>
      </c>
      <c r="AE95" s="1">
        <v>60.020406938280097</v>
      </c>
      <c r="AF95" s="1" t="s">
        <v>48</v>
      </c>
    </row>
    <row r="96" spans="1:32" x14ac:dyDescent="0.35">
      <c r="A96" s="1">
        <v>11</v>
      </c>
      <c r="B96" s="1">
        <v>30</v>
      </c>
      <c r="C96" s="1">
        <v>7</v>
      </c>
      <c r="D96" s="1">
        <v>94</v>
      </c>
      <c r="E96" s="1">
        <v>4</v>
      </c>
      <c r="F96" s="1">
        <v>9</v>
      </c>
      <c r="G96" s="1" t="s">
        <v>39</v>
      </c>
      <c r="H96" s="1">
        <v>1.5300285000048399</v>
      </c>
      <c r="I96" s="1" t="s">
        <v>33</v>
      </c>
      <c r="J96" s="1">
        <v>9</v>
      </c>
      <c r="K96" s="1">
        <v>4</v>
      </c>
      <c r="L96" s="1">
        <v>94</v>
      </c>
      <c r="M96" s="1">
        <v>0</v>
      </c>
      <c r="N96" s="1">
        <v>193.08655139999601</v>
      </c>
      <c r="O96" s="1"/>
      <c r="P96" s="1">
        <v>193.07873059999801</v>
      </c>
      <c r="Q96" s="1">
        <v>193.08655139999601</v>
      </c>
      <c r="R96" s="1">
        <v>194.08645759999399</v>
      </c>
      <c r="S96" s="1">
        <v>194.08645759999399</v>
      </c>
      <c r="T96" s="1">
        <v>194.08645759999399</v>
      </c>
      <c r="U96" s="1">
        <v>195.62020199999799</v>
      </c>
      <c r="V96" s="1" t="s">
        <v>39</v>
      </c>
      <c r="W96" s="1">
        <v>1.5300285000048399</v>
      </c>
      <c r="X96" s="1" t="s">
        <v>33</v>
      </c>
      <c r="Y96" s="1" t="s">
        <v>46</v>
      </c>
      <c r="Z96" s="1">
        <v>1</v>
      </c>
      <c r="AA96" s="1" t="s">
        <v>47</v>
      </c>
      <c r="AB96" s="1" t="s">
        <v>36</v>
      </c>
      <c r="AC96" s="1"/>
      <c r="AD96" s="1" t="s">
        <v>37</v>
      </c>
      <c r="AE96" s="1">
        <v>60.020406938280097</v>
      </c>
      <c r="AF96" s="1" t="s">
        <v>48</v>
      </c>
    </row>
    <row r="97" spans="1:32" x14ac:dyDescent="0.35">
      <c r="A97" s="1">
        <v>78</v>
      </c>
      <c r="B97" s="1">
        <v>80</v>
      </c>
      <c r="C97" s="1">
        <v>162</v>
      </c>
      <c r="D97" s="1">
        <v>95</v>
      </c>
      <c r="E97" s="1">
        <v>5</v>
      </c>
      <c r="F97" s="1">
        <v>9</v>
      </c>
      <c r="G97" s="1" t="s">
        <v>32</v>
      </c>
      <c r="H97" s="1">
        <v>0.928821399997104</v>
      </c>
      <c r="I97" s="1" t="s">
        <v>33</v>
      </c>
      <c r="J97" s="1">
        <v>9</v>
      </c>
      <c r="K97" s="1">
        <v>5</v>
      </c>
      <c r="L97" s="1">
        <v>95</v>
      </c>
      <c r="M97" s="1">
        <v>6</v>
      </c>
      <c r="N97" s="1">
        <v>195.636029399996</v>
      </c>
      <c r="O97" s="1"/>
      <c r="P97" s="1">
        <v>195.62598479999701</v>
      </c>
      <c r="Q97" s="1">
        <v>195.636029399996</v>
      </c>
      <c r="R97" s="1">
        <v>196.62021579999401</v>
      </c>
      <c r="S97" s="1">
        <v>196.62021579999401</v>
      </c>
      <c r="T97" s="1">
        <v>196.636403199998</v>
      </c>
      <c r="U97" s="1">
        <v>197.55312709999899</v>
      </c>
      <c r="V97" s="1" t="s">
        <v>32</v>
      </c>
      <c r="W97" s="1">
        <v>0.928821399997104</v>
      </c>
      <c r="X97" s="1" t="s">
        <v>33</v>
      </c>
      <c r="Y97" s="1" t="s">
        <v>46</v>
      </c>
      <c r="Z97" s="1">
        <v>1</v>
      </c>
      <c r="AA97" s="1" t="s">
        <v>47</v>
      </c>
      <c r="AB97" s="1" t="s">
        <v>36</v>
      </c>
      <c r="AC97" s="1"/>
      <c r="AD97" s="1" t="s">
        <v>37</v>
      </c>
      <c r="AE97" s="1">
        <v>60.020406938280097</v>
      </c>
      <c r="AF97" s="1" t="s">
        <v>48</v>
      </c>
    </row>
    <row r="98" spans="1:32" x14ac:dyDescent="0.35">
      <c r="A98" s="1">
        <v>40</v>
      </c>
      <c r="B98" s="1">
        <v>55</v>
      </c>
      <c r="C98" s="1">
        <v>62</v>
      </c>
      <c r="D98" s="1">
        <v>96</v>
      </c>
      <c r="E98" s="1">
        <v>6</v>
      </c>
      <c r="F98" s="1">
        <v>9</v>
      </c>
      <c r="G98" s="1" t="s">
        <v>32</v>
      </c>
      <c r="H98" s="1">
        <v>0.51880569999775605</v>
      </c>
      <c r="I98" s="1" t="s">
        <v>33</v>
      </c>
      <c r="J98" s="1">
        <v>9</v>
      </c>
      <c r="K98" s="1">
        <v>6</v>
      </c>
      <c r="L98" s="1">
        <v>96</v>
      </c>
      <c r="M98" s="1">
        <v>3</v>
      </c>
      <c r="N98" s="1">
        <v>197.56901809999499</v>
      </c>
      <c r="O98" s="1"/>
      <c r="P98" s="1">
        <v>197.56008109999601</v>
      </c>
      <c r="Q98" s="1">
        <v>197.56901809999499</v>
      </c>
      <c r="R98" s="1">
        <v>198.552816299998</v>
      </c>
      <c r="S98" s="1">
        <v>198.552816299998</v>
      </c>
      <c r="T98" s="1">
        <v>198.569495799994</v>
      </c>
      <c r="U98" s="1">
        <v>199.08648489999899</v>
      </c>
      <c r="V98" s="1" t="s">
        <v>32</v>
      </c>
      <c r="W98" s="1">
        <v>0.51880569999775605</v>
      </c>
      <c r="X98" s="1" t="s">
        <v>33</v>
      </c>
      <c r="Y98" s="1" t="s">
        <v>46</v>
      </c>
      <c r="Z98" s="1">
        <v>1</v>
      </c>
      <c r="AA98" s="1" t="s">
        <v>47</v>
      </c>
      <c r="AB98" s="1" t="s">
        <v>36</v>
      </c>
      <c r="AC98" s="1"/>
      <c r="AD98" s="1" t="s">
        <v>37</v>
      </c>
      <c r="AE98" s="1">
        <v>60.020406938280097</v>
      </c>
      <c r="AF98" s="1" t="s">
        <v>48</v>
      </c>
    </row>
    <row r="99" spans="1:32" x14ac:dyDescent="0.35">
      <c r="A99" s="1">
        <v>110</v>
      </c>
      <c r="B99" s="1">
        <v>135</v>
      </c>
      <c r="C99" s="1">
        <v>270</v>
      </c>
      <c r="D99" s="1">
        <v>97</v>
      </c>
      <c r="E99" s="1">
        <v>7</v>
      </c>
      <c r="F99" s="1">
        <v>9</v>
      </c>
      <c r="G99" s="1" t="s">
        <v>32</v>
      </c>
      <c r="H99" s="1">
        <v>0.47036839999782298</v>
      </c>
      <c r="I99" s="1" t="s">
        <v>33</v>
      </c>
      <c r="J99" s="1">
        <v>9</v>
      </c>
      <c r="K99" s="1">
        <v>7</v>
      </c>
      <c r="L99" s="1">
        <v>97</v>
      </c>
      <c r="M99" s="1">
        <v>9</v>
      </c>
      <c r="N99" s="1">
        <v>199.10218109999499</v>
      </c>
      <c r="O99" s="1"/>
      <c r="P99" s="1">
        <v>199.09331939999501</v>
      </c>
      <c r="Q99" s="1">
        <v>199.10218109999499</v>
      </c>
      <c r="R99" s="1">
        <v>200.102204599999</v>
      </c>
      <c r="S99" s="1">
        <v>200.102204599999</v>
      </c>
      <c r="T99" s="1">
        <v>200.102204599999</v>
      </c>
      <c r="U99" s="1">
        <v>200.586492199996</v>
      </c>
      <c r="V99" s="1" t="s">
        <v>32</v>
      </c>
      <c r="W99" s="1">
        <v>0.47036839999782298</v>
      </c>
      <c r="X99" s="1" t="s">
        <v>33</v>
      </c>
      <c r="Y99" s="1" t="s">
        <v>46</v>
      </c>
      <c r="Z99" s="1">
        <v>1</v>
      </c>
      <c r="AA99" s="1" t="s">
        <v>47</v>
      </c>
      <c r="AB99" s="1" t="s">
        <v>36</v>
      </c>
      <c r="AC99" s="1"/>
      <c r="AD99" s="1" t="s">
        <v>37</v>
      </c>
      <c r="AE99" s="1">
        <v>60.020406938280097</v>
      </c>
      <c r="AF99" s="1" t="s">
        <v>48</v>
      </c>
    </row>
    <row r="100" spans="1:32" x14ac:dyDescent="0.35">
      <c r="A100" s="1">
        <v>88</v>
      </c>
      <c r="B100" s="1">
        <v>105</v>
      </c>
      <c r="C100" s="1">
        <v>200</v>
      </c>
      <c r="D100" s="1">
        <v>98</v>
      </c>
      <c r="E100" s="1">
        <v>8</v>
      </c>
      <c r="F100" s="1">
        <v>9</v>
      </c>
      <c r="G100" s="1" t="s">
        <v>32</v>
      </c>
      <c r="H100" s="1">
        <v>0.37227160000475101</v>
      </c>
      <c r="I100" s="1" t="s">
        <v>33</v>
      </c>
      <c r="J100" s="1">
        <v>9</v>
      </c>
      <c r="K100" s="1">
        <v>8</v>
      </c>
      <c r="L100" s="1">
        <v>98</v>
      </c>
      <c r="M100" s="1">
        <v>7</v>
      </c>
      <c r="N100" s="1">
        <v>200.60187149999501</v>
      </c>
      <c r="O100" s="1"/>
      <c r="P100" s="1">
        <v>200.59328969999399</v>
      </c>
      <c r="Q100" s="1">
        <v>200.60187149999501</v>
      </c>
      <c r="R100" s="1">
        <v>201.60229119999701</v>
      </c>
      <c r="S100" s="1">
        <v>201.60229119999701</v>
      </c>
      <c r="T100" s="1">
        <v>201.60229119999701</v>
      </c>
      <c r="U100" s="1">
        <v>201.98573909999601</v>
      </c>
      <c r="V100" s="1" t="s">
        <v>32</v>
      </c>
      <c r="W100" s="1">
        <v>0.37227160000475101</v>
      </c>
      <c r="X100" s="1" t="s">
        <v>33</v>
      </c>
      <c r="Y100" s="1" t="s">
        <v>46</v>
      </c>
      <c r="Z100" s="1">
        <v>1</v>
      </c>
      <c r="AA100" s="1" t="s">
        <v>47</v>
      </c>
      <c r="AB100" s="1" t="s">
        <v>36</v>
      </c>
      <c r="AC100" s="1"/>
      <c r="AD100" s="1" t="s">
        <v>37</v>
      </c>
      <c r="AE100" s="1">
        <v>60.020406938280097</v>
      </c>
      <c r="AF100" s="1" t="s">
        <v>48</v>
      </c>
    </row>
    <row r="101" spans="1:32" x14ac:dyDescent="0.35">
      <c r="A101" s="1">
        <v>15</v>
      </c>
      <c r="B101" s="1">
        <v>35</v>
      </c>
      <c r="C101" s="1">
        <v>13</v>
      </c>
      <c r="D101" s="1">
        <v>99</v>
      </c>
      <c r="E101" s="1">
        <v>9</v>
      </c>
      <c r="F101" s="1">
        <v>9</v>
      </c>
      <c r="G101" s="1" t="s">
        <v>39</v>
      </c>
      <c r="H101" s="1">
        <v>1.16766080000525</v>
      </c>
      <c r="I101" s="1" t="s">
        <v>33</v>
      </c>
      <c r="J101" s="1">
        <v>9</v>
      </c>
      <c r="K101" s="1">
        <v>9</v>
      </c>
      <c r="L101" s="1">
        <v>99</v>
      </c>
      <c r="M101" s="1">
        <v>1</v>
      </c>
      <c r="N101" s="1">
        <v>202.00202770000001</v>
      </c>
      <c r="O101" s="1"/>
      <c r="P101" s="1">
        <v>201.99203779999499</v>
      </c>
      <c r="Q101" s="1">
        <v>202.00202770000001</v>
      </c>
      <c r="R101" s="1">
        <v>202.985015199999</v>
      </c>
      <c r="S101" s="1">
        <v>202.985015199999</v>
      </c>
      <c r="T101" s="1">
        <v>203.00162679999599</v>
      </c>
      <c r="U101" s="1">
        <v>204.16939579999499</v>
      </c>
      <c r="V101" s="1" t="s">
        <v>39</v>
      </c>
      <c r="W101" s="1">
        <v>1.16766080000525</v>
      </c>
      <c r="X101" s="1" t="s">
        <v>33</v>
      </c>
      <c r="Y101" s="1" t="s">
        <v>46</v>
      </c>
      <c r="Z101" s="1">
        <v>1</v>
      </c>
      <c r="AA101" s="1" t="s">
        <v>47</v>
      </c>
      <c r="AB101" s="1" t="s">
        <v>36</v>
      </c>
      <c r="AC101" s="1"/>
      <c r="AD101" s="1" t="s">
        <v>37</v>
      </c>
      <c r="AE101" s="1">
        <v>60.020406938280097</v>
      </c>
      <c r="AF101" s="1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topLeftCell="A68" workbookViewId="0">
      <selection activeCell="J81" sqref="J81"/>
    </sheetView>
  </sheetViews>
  <sheetFormatPr defaultRowHeight="14.5" x14ac:dyDescent="0.35"/>
  <cols>
    <col min="1" max="3" width="8.7265625" style="1"/>
    <col min="4" max="4" width="11.4531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6</v>
      </c>
      <c r="E1" t="s">
        <v>49</v>
      </c>
    </row>
    <row r="2" spans="1:5" x14ac:dyDescent="0.35">
      <c r="A2" s="1">
        <v>78</v>
      </c>
      <c r="B2" s="1">
        <v>80</v>
      </c>
      <c r="C2" s="1">
        <v>162</v>
      </c>
      <c r="D2" s="1" t="s">
        <v>32</v>
      </c>
      <c r="E2">
        <f t="shared" ref="E2:E33" si="0">((B2/A2)-1)/C2</f>
        <v>1.5827793605571326E-4</v>
      </c>
    </row>
    <row r="3" spans="1:5" x14ac:dyDescent="0.35">
      <c r="A3" s="1">
        <v>78</v>
      </c>
      <c r="B3" s="1">
        <v>80</v>
      </c>
      <c r="C3" s="1">
        <v>162</v>
      </c>
      <c r="D3" s="1" t="s">
        <v>32</v>
      </c>
      <c r="E3" s="1">
        <f t="shared" si="0"/>
        <v>1.5827793605571326E-4</v>
      </c>
    </row>
    <row r="4" spans="1:5" x14ac:dyDescent="0.35">
      <c r="A4" s="1">
        <v>78</v>
      </c>
      <c r="B4" s="1">
        <v>80</v>
      </c>
      <c r="C4" s="1">
        <v>162</v>
      </c>
      <c r="D4" s="1" t="s">
        <v>32</v>
      </c>
      <c r="E4" s="1">
        <f t="shared" si="0"/>
        <v>1.5827793605571326E-4</v>
      </c>
    </row>
    <row r="5" spans="1:5" x14ac:dyDescent="0.35">
      <c r="A5" s="1">
        <v>78</v>
      </c>
      <c r="B5" s="1">
        <v>80</v>
      </c>
      <c r="C5" s="1">
        <v>162</v>
      </c>
      <c r="D5" s="1" t="s">
        <v>32</v>
      </c>
      <c r="E5" s="1">
        <f t="shared" si="0"/>
        <v>1.5827793605571326E-4</v>
      </c>
    </row>
    <row r="6" spans="1:5" x14ac:dyDescent="0.35">
      <c r="A6" s="1">
        <v>78</v>
      </c>
      <c r="B6" s="1">
        <v>80</v>
      </c>
      <c r="C6" s="1">
        <v>162</v>
      </c>
      <c r="D6" s="1" t="s">
        <v>32</v>
      </c>
      <c r="E6" s="1">
        <f t="shared" si="0"/>
        <v>1.5827793605571326E-4</v>
      </c>
    </row>
    <row r="7" spans="1:5" x14ac:dyDescent="0.35">
      <c r="A7" s="1">
        <v>78</v>
      </c>
      <c r="B7" s="1">
        <v>80</v>
      </c>
      <c r="C7" s="1">
        <v>162</v>
      </c>
      <c r="D7" s="1" t="s">
        <v>32</v>
      </c>
      <c r="E7" s="1">
        <f t="shared" si="0"/>
        <v>1.5827793605571326E-4</v>
      </c>
    </row>
    <row r="8" spans="1:5" x14ac:dyDescent="0.35">
      <c r="A8" s="1">
        <v>78</v>
      </c>
      <c r="B8" s="1">
        <v>80</v>
      </c>
      <c r="C8" s="1">
        <v>162</v>
      </c>
      <c r="D8" s="1" t="s">
        <v>32</v>
      </c>
      <c r="E8" s="1">
        <f t="shared" si="0"/>
        <v>1.5827793605571326E-4</v>
      </c>
    </row>
    <row r="9" spans="1:5" x14ac:dyDescent="0.35">
      <c r="A9" s="1">
        <v>78</v>
      </c>
      <c r="B9" s="1">
        <v>80</v>
      </c>
      <c r="C9" s="1">
        <v>162</v>
      </c>
      <c r="D9" s="1" t="s">
        <v>32</v>
      </c>
      <c r="E9" s="1">
        <f t="shared" si="0"/>
        <v>1.5827793605571326E-4</v>
      </c>
    </row>
    <row r="10" spans="1:5" x14ac:dyDescent="0.35">
      <c r="A10" s="1">
        <v>78</v>
      </c>
      <c r="B10" s="1">
        <v>80</v>
      </c>
      <c r="C10" s="1">
        <v>162</v>
      </c>
      <c r="D10" s="1" t="s">
        <v>32</v>
      </c>
      <c r="E10" s="1">
        <f t="shared" si="0"/>
        <v>1.5827793605571326E-4</v>
      </c>
    </row>
    <row r="11" spans="1:5" x14ac:dyDescent="0.35">
      <c r="A11" s="1">
        <v>78</v>
      </c>
      <c r="B11" s="1">
        <v>80</v>
      </c>
      <c r="C11" s="1">
        <v>162</v>
      </c>
      <c r="D11" s="1" t="s">
        <v>32</v>
      </c>
      <c r="E11" s="1">
        <f t="shared" si="0"/>
        <v>1.5827793605571326E-4</v>
      </c>
    </row>
    <row r="12" spans="1:5" x14ac:dyDescent="0.35">
      <c r="A12" s="1">
        <v>110</v>
      </c>
      <c r="B12" s="1">
        <v>135</v>
      </c>
      <c r="C12" s="1">
        <v>270</v>
      </c>
      <c r="D12" s="1" t="s">
        <v>32</v>
      </c>
      <c r="E12" s="1">
        <f t="shared" si="0"/>
        <v>8.4175084175084182E-4</v>
      </c>
    </row>
    <row r="13" spans="1:5" x14ac:dyDescent="0.35">
      <c r="A13" s="1">
        <v>110</v>
      </c>
      <c r="B13" s="1">
        <v>135</v>
      </c>
      <c r="C13" s="1">
        <v>270</v>
      </c>
      <c r="D13" s="1" t="s">
        <v>32</v>
      </c>
      <c r="E13" s="1">
        <f t="shared" si="0"/>
        <v>8.4175084175084182E-4</v>
      </c>
    </row>
    <row r="14" spans="1:5" x14ac:dyDescent="0.35">
      <c r="A14" s="1">
        <v>110</v>
      </c>
      <c r="B14" s="1">
        <v>135</v>
      </c>
      <c r="C14" s="1">
        <v>270</v>
      </c>
      <c r="D14" s="1" t="s">
        <v>32</v>
      </c>
      <c r="E14" s="1">
        <f t="shared" si="0"/>
        <v>8.4175084175084182E-4</v>
      </c>
    </row>
    <row r="15" spans="1:5" x14ac:dyDescent="0.35">
      <c r="A15" s="1">
        <v>110</v>
      </c>
      <c r="B15" s="1">
        <v>135</v>
      </c>
      <c r="C15" s="1">
        <v>270</v>
      </c>
      <c r="D15" s="1" t="s">
        <v>32</v>
      </c>
      <c r="E15" s="1">
        <f t="shared" si="0"/>
        <v>8.4175084175084182E-4</v>
      </c>
    </row>
    <row r="16" spans="1:5" x14ac:dyDescent="0.35">
      <c r="A16" s="1">
        <v>110</v>
      </c>
      <c r="B16" s="1">
        <v>135</v>
      </c>
      <c r="C16" s="1">
        <v>270</v>
      </c>
      <c r="D16" s="1" t="s">
        <v>32</v>
      </c>
      <c r="E16" s="1">
        <f t="shared" si="0"/>
        <v>8.4175084175084182E-4</v>
      </c>
    </row>
    <row r="17" spans="1:5" x14ac:dyDescent="0.35">
      <c r="A17" s="1">
        <v>110</v>
      </c>
      <c r="B17" s="1">
        <v>135</v>
      </c>
      <c r="C17" s="1">
        <v>270</v>
      </c>
      <c r="D17" s="1" t="s">
        <v>32</v>
      </c>
      <c r="E17" s="1">
        <f t="shared" si="0"/>
        <v>8.4175084175084182E-4</v>
      </c>
    </row>
    <row r="18" spans="1:5" x14ac:dyDescent="0.35">
      <c r="A18" s="1">
        <v>110</v>
      </c>
      <c r="B18" s="1">
        <v>135</v>
      </c>
      <c r="C18" s="1">
        <v>270</v>
      </c>
      <c r="D18" s="1" t="s">
        <v>32</v>
      </c>
      <c r="E18" s="1">
        <f t="shared" si="0"/>
        <v>8.4175084175084182E-4</v>
      </c>
    </row>
    <row r="19" spans="1:5" x14ac:dyDescent="0.35">
      <c r="A19" s="1">
        <v>110</v>
      </c>
      <c r="B19" s="1">
        <v>135</v>
      </c>
      <c r="C19" s="1">
        <v>270</v>
      </c>
      <c r="D19" s="1" t="s">
        <v>32</v>
      </c>
      <c r="E19" s="1">
        <f t="shared" si="0"/>
        <v>8.4175084175084182E-4</v>
      </c>
    </row>
    <row r="20" spans="1:5" x14ac:dyDescent="0.35">
      <c r="A20" s="1">
        <v>110</v>
      </c>
      <c r="B20" s="1">
        <v>135</v>
      </c>
      <c r="C20" s="1">
        <v>270</v>
      </c>
      <c r="D20" s="1" t="s">
        <v>32</v>
      </c>
      <c r="E20" s="1">
        <f t="shared" si="0"/>
        <v>8.4175084175084182E-4</v>
      </c>
    </row>
    <row r="21" spans="1:5" x14ac:dyDescent="0.35">
      <c r="A21" s="1">
        <v>110</v>
      </c>
      <c r="B21" s="1">
        <v>135</v>
      </c>
      <c r="C21" s="1">
        <v>270</v>
      </c>
      <c r="D21" s="1" t="s">
        <v>32</v>
      </c>
      <c r="E21" s="1">
        <f t="shared" si="0"/>
        <v>8.4175084175084182E-4</v>
      </c>
    </row>
    <row r="22" spans="1:5" x14ac:dyDescent="0.35">
      <c r="A22" s="1">
        <v>88</v>
      </c>
      <c r="B22" s="1">
        <v>105</v>
      </c>
      <c r="C22" s="1">
        <v>200</v>
      </c>
      <c r="D22" s="1" t="s">
        <v>32</v>
      </c>
      <c r="E22" s="1">
        <f t="shared" si="0"/>
        <v>9.6590909090909062E-4</v>
      </c>
    </row>
    <row r="23" spans="1:5" x14ac:dyDescent="0.35">
      <c r="A23" s="1">
        <v>88</v>
      </c>
      <c r="B23" s="1">
        <v>105</v>
      </c>
      <c r="C23" s="1">
        <v>200</v>
      </c>
      <c r="D23" s="1" t="s">
        <v>32</v>
      </c>
      <c r="E23" s="1">
        <f t="shared" si="0"/>
        <v>9.6590909090909062E-4</v>
      </c>
    </row>
    <row r="24" spans="1:5" x14ac:dyDescent="0.35">
      <c r="A24" s="1">
        <v>88</v>
      </c>
      <c r="B24" s="1">
        <v>105</v>
      </c>
      <c r="C24" s="1">
        <v>200</v>
      </c>
      <c r="D24" s="1" t="s">
        <v>32</v>
      </c>
      <c r="E24" s="1">
        <f t="shared" si="0"/>
        <v>9.6590909090909062E-4</v>
      </c>
    </row>
    <row r="25" spans="1:5" x14ac:dyDescent="0.35">
      <c r="A25" s="1">
        <v>88</v>
      </c>
      <c r="B25" s="1">
        <v>105</v>
      </c>
      <c r="C25" s="1">
        <v>200</v>
      </c>
      <c r="D25" s="1" t="s">
        <v>32</v>
      </c>
      <c r="E25" s="1">
        <f t="shared" si="0"/>
        <v>9.6590909090909062E-4</v>
      </c>
    </row>
    <row r="26" spans="1:5" x14ac:dyDescent="0.35">
      <c r="A26" s="1">
        <v>88</v>
      </c>
      <c r="B26" s="1">
        <v>105</v>
      </c>
      <c r="C26" s="1">
        <v>200</v>
      </c>
      <c r="D26" s="1" t="s">
        <v>32</v>
      </c>
      <c r="E26" s="1">
        <f t="shared" si="0"/>
        <v>9.6590909090909062E-4</v>
      </c>
    </row>
    <row r="27" spans="1:5" x14ac:dyDescent="0.35">
      <c r="A27" s="1">
        <v>88</v>
      </c>
      <c r="B27" s="1">
        <v>105</v>
      </c>
      <c r="C27" s="1">
        <v>200</v>
      </c>
      <c r="D27" s="1" t="s">
        <v>32</v>
      </c>
      <c r="E27" s="1">
        <f t="shared" si="0"/>
        <v>9.6590909090909062E-4</v>
      </c>
    </row>
    <row r="28" spans="1:5" x14ac:dyDescent="0.35">
      <c r="A28" s="1">
        <v>88</v>
      </c>
      <c r="B28" s="1">
        <v>105</v>
      </c>
      <c r="C28" s="1">
        <v>200</v>
      </c>
      <c r="D28" s="1" t="s">
        <v>32</v>
      </c>
      <c r="E28" s="1">
        <f t="shared" si="0"/>
        <v>9.6590909090909062E-4</v>
      </c>
    </row>
    <row r="29" spans="1:5" x14ac:dyDescent="0.35">
      <c r="A29" s="1">
        <v>88</v>
      </c>
      <c r="B29" s="1">
        <v>105</v>
      </c>
      <c r="C29" s="1">
        <v>200</v>
      </c>
      <c r="D29" s="1" t="s">
        <v>32</v>
      </c>
      <c r="E29" s="1">
        <f t="shared" si="0"/>
        <v>9.6590909090909062E-4</v>
      </c>
    </row>
    <row r="30" spans="1:5" x14ac:dyDescent="0.35">
      <c r="A30" s="1">
        <v>88</v>
      </c>
      <c r="B30" s="1">
        <v>105</v>
      </c>
      <c r="C30" s="1">
        <v>200</v>
      </c>
      <c r="D30" s="1" t="s">
        <v>32</v>
      </c>
      <c r="E30" s="1">
        <f t="shared" si="0"/>
        <v>9.6590909090909062E-4</v>
      </c>
    </row>
    <row r="31" spans="1:5" x14ac:dyDescent="0.35">
      <c r="A31" s="1">
        <v>88</v>
      </c>
      <c r="B31" s="1">
        <v>105</v>
      </c>
      <c r="C31" s="1">
        <v>200</v>
      </c>
      <c r="D31" s="1" t="s">
        <v>32</v>
      </c>
      <c r="E31" s="1">
        <f t="shared" si="0"/>
        <v>9.6590909090909062E-4</v>
      </c>
    </row>
    <row r="32" spans="1:5" x14ac:dyDescent="0.35">
      <c r="A32" s="1">
        <v>98</v>
      </c>
      <c r="B32" s="1">
        <v>120</v>
      </c>
      <c r="C32" s="1">
        <v>230</v>
      </c>
      <c r="D32" s="1" t="s">
        <v>32</v>
      </c>
      <c r="E32" s="1">
        <f t="shared" si="0"/>
        <v>9.7604259094942339E-4</v>
      </c>
    </row>
    <row r="33" spans="1:5" x14ac:dyDescent="0.35">
      <c r="A33" s="1">
        <v>98</v>
      </c>
      <c r="B33" s="1">
        <v>120</v>
      </c>
      <c r="C33" s="1">
        <v>230</v>
      </c>
      <c r="D33" s="1" t="s">
        <v>32</v>
      </c>
      <c r="E33" s="1">
        <f t="shared" si="0"/>
        <v>9.7604259094942339E-4</v>
      </c>
    </row>
    <row r="34" spans="1:5" x14ac:dyDescent="0.35">
      <c r="A34" s="1">
        <v>98</v>
      </c>
      <c r="B34" s="1">
        <v>120</v>
      </c>
      <c r="C34" s="1">
        <v>230</v>
      </c>
      <c r="D34" s="1" t="s">
        <v>32</v>
      </c>
      <c r="E34" s="1">
        <f t="shared" ref="E34:E65" si="1">((B34/A34)-1)/C34</f>
        <v>9.7604259094942339E-4</v>
      </c>
    </row>
    <row r="35" spans="1:5" x14ac:dyDescent="0.35">
      <c r="A35" s="1">
        <v>98</v>
      </c>
      <c r="B35" s="1">
        <v>120</v>
      </c>
      <c r="C35" s="1">
        <v>230</v>
      </c>
      <c r="D35" s="1" t="s">
        <v>32</v>
      </c>
      <c r="E35" s="1">
        <f t="shared" si="1"/>
        <v>9.7604259094942339E-4</v>
      </c>
    </row>
    <row r="36" spans="1:5" x14ac:dyDescent="0.35">
      <c r="A36" s="1">
        <v>98</v>
      </c>
      <c r="B36" s="1">
        <v>120</v>
      </c>
      <c r="C36" s="1">
        <v>230</v>
      </c>
      <c r="D36" s="1" t="s">
        <v>32</v>
      </c>
      <c r="E36" s="1">
        <f t="shared" si="1"/>
        <v>9.7604259094942339E-4</v>
      </c>
    </row>
    <row r="37" spans="1:5" x14ac:dyDescent="0.35">
      <c r="A37" s="1">
        <v>98</v>
      </c>
      <c r="B37" s="1">
        <v>120</v>
      </c>
      <c r="C37" s="1">
        <v>230</v>
      </c>
      <c r="D37" s="1" t="s">
        <v>32</v>
      </c>
      <c r="E37" s="1">
        <f t="shared" si="1"/>
        <v>9.7604259094942339E-4</v>
      </c>
    </row>
    <row r="38" spans="1:5" x14ac:dyDescent="0.35">
      <c r="A38" s="1">
        <v>98</v>
      </c>
      <c r="B38" s="1">
        <v>120</v>
      </c>
      <c r="C38" s="1">
        <v>230</v>
      </c>
      <c r="D38" s="1" t="s">
        <v>32</v>
      </c>
      <c r="E38" s="1">
        <f t="shared" si="1"/>
        <v>9.7604259094942339E-4</v>
      </c>
    </row>
    <row r="39" spans="1:5" x14ac:dyDescent="0.35">
      <c r="A39" s="1">
        <v>98</v>
      </c>
      <c r="B39" s="1">
        <v>120</v>
      </c>
      <c r="C39" s="1">
        <v>230</v>
      </c>
      <c r="D39" s="1" t="s">
        <v>32</v>
      </c>
      <c r="E39" s="1">
        <f t="shared" si="1"/>
        <v>9.7604259094942339E-4</v>
      </c>
    </row>
    <row r="40" spans="1:5" x14ac:dyDescent="0.35">
      <c r="A40" s="1">
        <v>98</v>
      </c>
      <c r="B40" s="1">
        <v>120</v>
      </c>
      <c r="C40" s="1">
        <v>230</v>
      </c>
      <c r="D40" s="1" t="s">
        <v>32</v>
      </c>
      <c r="E40" s="1">
        <f t="shared" si="1"/>
        <v>9.7604259094942339E-4</v>
      </c>
    </row>
    <row r="41" spans="1:5" x14ac:dyDescent="0.35">
      <c r="A41" s="1">
        <v>98</v>
      </c>
      <c r="B41" s="1">
        <v>120</v>
      </c>
      <c r="C41" s="1">
        <v>230</v>
      </c>
      <c r="D41" s="1" t="s">
        <v>32</v>
      </c>
      <c r="E41" s="1">
        <f t="shared" si="1"/>
        <v>9.7604259094942339E-4</v>
      </c>
    </row>
    <row r="42" spans="1:5" x14ac:dyDescent="0.35">
      <c r="A42" s="1">
        <v>67</v>
      </c>
      <c r="B42" s="1">
        <v>75</v>
      </c>
      <c r="C42" s="1">
        <v>119</v>
      </c>
      <c r="D42" s="1" t="s">
        <v>32</v>
      </c>
      <c r="E42" s="1">
        <f t="shared" si="1"/>
        <v>1.0033864291985443E-3</v>
      </c>
    </row>
    <row r="43" spans="1:5" x14ac:dyDescent="0.35">
      <c r="A43" s="1">
        <v>67</v>
      </c>
      <c r="B43" s="1">
        <v>75</v>
      </c>
      <c r="C43" s="1">
        <v>119</v>
      </c>
      <c r="D43" s="1" t="s">
        <v>32</v>
      </c>
      <c r="E43" s="1">
        <f t="shared" si="1"/>
        <v>1.0033864291985443E-3</v>
      </c>
    </row>
    <row r="44" spans="1:5" x14ac:dyDescent="0.35">
      <c r="A44" s="1">
        <v>67</v>
      </c>
      <c r="B44" s="1">
        <v>75</v>
      </c>
      <c r="C44" s="1">
        <v>119</v>
      </c>
      <c r="D44" s="1" t="s">
        <v>32</v>
      </c>
      <c r="E44" s="1">
        <f t="shared" si="1"/>
        <v>1.0033864291985443E-3</v>
      </c>
    </row>
    <row r="45" spans="1:5" x14ac:dyDescent="0.35">
      <c r="A45" s="1">
        <v>67</v>
      </c>
      <c r="B45" s="1">
        <v>75</v>
      </c>
      <c r="C45" s="1">
        <v>119</v>
      </c>
      <c r="D45" s="1" t="s">
        <v>32</v>
      </c>
      <c r="E45" s="1">
        <f t="shared" si="1"/>
        <v>1.0033864291985443E-3</v>
      </c>
    </row>
    <row r="46" spans="1:5" x14ac:dyDescent="0.35">
      <c r="A46" s="1">
        <v>67</v>
      </c>
      <c r="B46" s="1">
        <v>75</v>
      </c>
      <c r="C46" s="1">
        <v>119</v>
      </c>
      <c r="D46" s="1" t="s">
        <v>32</v>
      </c>
      <c r="E46" s="1">
        <f t="shared" si="1"/>
        <v>1.0033864291985443E-3</v>
      </c>
    </row>
    <row r="47" spans="1:5" x14ac:dyDescent="0.35">
      <c r="A47" s="1">
        <v>67</v>
      </c>
      <c r="B47" s="1">
        <v>75</v>
      </c>
      <c r="C47" s="1">
        <v>119</v>
      </c>
      <c r="D47" s="1" t="s">
        <v>32</v>
      </c>
      <c r="E47" s="1">
        <f t="shared" si="1"/>
        <v>1.0033864291985443E-3</v>
      </c>
    </row>
    <row r="48" spans="1:5" x14ac:dyDescent="0.35">
      <c r="A48" s="1">
        <v>67</v>
      </c>
      <c r="B48" s="1">
        <v>75</v>
      </c>
      <c r="C48" s="1">
        <v>119</v>
      </c>
      <c r="D48" s="1" t="s">
        <v>32</v>
      </c>
      <c r="E48" s="1">
        <f t="shared" si="1"/>
        <v>1.0033864291985443E-3</v>
      </c>
    </row>
    <row r="49" spans="1:5" x14ac:dyDescent="0.35">
      <c r="A49" s="1">
        <v>67</v>
      </c>
      <c r="B49" s="1">
        <v>75</v>
      </c>
      <c r="C49" s="1">
        <v>119</v>
      </c>
      <c r="D49" s="1" t="s">
        <v>32</v>
      </c>
      <c r="E49" s="1">
        <f t="shared" si="1"/>
        <v>1.0033864291985443E-3</v>
      </c>
    </row>
    <row r="50" spans="1:5" x14ac:dyDescent="0.35">
      <c r="A50" s="1">
        <v>67</v>
      </c>
      <c r="B50" s="1">
        <v>75</v>
      </c>
      <c r="C50" s="1">
        <v>119</v>
      </c>
      <c r="D50" s="1" t="s">
        <v>32</v>
      </c>
      <c r="E50" s="1">
        <f t="shared" si="1"/>
        <v>1.0033864291985443E-3</v>
      </c>
    </row>
    <row r="51" spans="1:5" x14ac:dyDescent="0.35">
      <c r="A51" s="1">
        <v>67</v>
      </c>
      <c r="B51" s="1">
        <v>75</v>
      </c>
      <c r="C51" s="1">
        <v>119</v>
      </c>
      <c r="D51" s="1" t="s">
        <v>32</v>
      </c>
      <c r="E51" s="1">
        <f t="shared" si="1"/>
        <v>1.0033864291985443E-3</v>
      </c>
    </row>
    <row r="52" spans="1:5" x14ac:dyDescent="0.35">
      <c r="A52" s="1">
        <v>49</v>
      </c>
      <c r="B52" s="1">
        <v>60</v>
      </c>
      <c r="C52" s="1">
        <v>89</v>
      </c>
      <c r="D52" s="1" t="s">
        <v>32</v>
      </c>
      <c r="E52" s="1">
        <f t="shared" si="1"/>
        <v>2.522357257509746E-3</v>
      </c>
    </row>
    <row r="53" spans="1:5" x14ac:dyDescent="0.35">
      <c r="A53" s="1">
        <v>49</v>
      </c>
      <c r="B53" s="1">
        <v>60</v>
      </c>
      <c r="C53" s="1">
        <v>89</v>
      </c>
      <c r="D53" s="1" t="s">
        <v>32</v>
      </c>
      <c r="E53" s="1">
        <f t="shared" si="1"/>
        <v>2.522357257509746E-3</v>
      </c>
    </row>
    <row r="54" spans="1:5" x14ac:dyDescent="0.35">
      <c r="A54" s="1">
        <v>49</v>
      </c>
      <c r="B54" s="1">
        <v>60</v>
      </c>
      <c r="C54" s="1">
        <v>89</v>
      </c>
      <c r="D54" s="1" t="s">
        <v>32</v>
      </c>
      <c r="E54" s="1">
        <f t="shared" si="1"/>
        <v>2.522357257509746E-3</v>
      </c>
    </row>
    <row r="55" spans="1:5" x14ac:dyDescent="0.35">
      <c r="A55" s="1">
        <v>49</v>
      </c>
      <c r="B55" s="1">
        <v>60</v>
      </c>
      <c r="C55" s="1">
        <v>89</v>
      </c>
      <c r="D55" s="1" t="s">
        <v>32</v>
      </c>
      <c r="E55" s="1">
        <f t="shared" si="1"/>
        <v>2.522357257509746E-3</v>
      </c>
    </row>
    <row r="56" spans="1:5" x14ac:dyDescent="0.35">
      <c r="A56" s="1">
        <v>49</v>
      </c>
      <c r="B56" s="1">
        <v>60</v>
      </c>
      <c r="C56" s="1">
        <v>89</v>
      </c>
      <c r="D56" s="1" t="s">
        <v>32</v>
      </c>
      <c r="E56" s="1">
        <f t="shared" si="1"/>
        <v>2.522357257509746E-3</v>
      </c>
    </row>
    <row r="57" spans="1:5" x14ac:dyDescent="0.35">
      <c r="A57" s="1">
        <v>49</v>
      </c>
      <c r="B57" s="1">
        <v>60</v>
      </c>
      <c r="C57" s="1">
        <v>89</v>
      </c>
      <c r="D57" s="1" t="s">
        <v>32</v>
      </c>
      <c r="E57" s="1">
        <f t="shared" si="1"/>
        <v>2.522357257509746E-3</v>
      </c>
    </row>
    <row r="58" spans="1:5" x14ac:dyDescent="0.35">
      <c r="A58" s="1">
        <v>49</v>
      </c>
      <c r="B58" s="1">
        <v>60</v>
      </c>
      <c r="C58" s="1">
        <v>89</v>
      </c>
      <c r="D58" s="1" t="s">
        <v>32</v>
      </c>
      <c r="E58" s="1">
        <f t="shared" si="1"/>
        <v>2.522357257509746E-3</v>
      </c>
    </row>
    <row r="59" spans="1:5" x14ac:dyDescent="0.35">
      <c r="A59" s="1">
        <v>49</v>
      </c>
      <c r="B59" s="1">
        <v>60</v>
      </c>
      <c r="C59" s="1">
        <v>89</v>
      </c>
      <c r="D59" s="1" t="s">
        <v>32</v>
      </c>
      <c r="E59" s="1">
        <f t="shared" si="1"/>
        <v>2.522357257509746E-3</v>
      </c>
    </row>
    <row r="60" spans="1:5" x14ac:dyDescent="0.35">
      <c r="A60" s="1">
        <v>49</v>
      </c>
      <c r="B60" s="1">
        <v>60</v>
      </c>
      <c r="C60" s="1">
        <v>89</v>
      </c>
      <c r="D60" s="1" t="s">
        <v>32</v>
      </c>
      <c r="E60" s="1">
        <f t="shared" si="1"/>
        <v>2.522357257509746E-3</v>
      </c>
    </row>
    <row r="61" spans="1:5" x14ac:dyDescent="0.35">
      <c r="A61" s="1">
        <v>49</v>
      </c>
      <c r="B61" s="1">
        <v>60</v>
      </c>
      <c r="C61" s="1">
        <v>89</v>
      </c>
      <c r="D61" s="1" t="s">
        <v>32</v>
      </c>
      <c r="E61" s="1">
        <f t="shared" si="1"/>
        <v>2.522357257509746E-3</v>
      </c>
    </row>
    <row r="62" spans="1:5" x14ac:dyDescent="0.35">
      <c r="A62" s="1">
        <v>40</v>
      </c>
      <c r="B62" s="1">
        <v>55</v>
      </c>
      <c r="C62" s="1">
        <v>62</v>
      </c>
      <c r="D62" s="1" t="s">
        <v>32</v>
      </c>
      <c r="E62" s="1">
        <f t="shared" si="1"/>
        <v>6.0483870967741934E-3</v>
      </c>
    </row>
    <row r="63" spans="1:5" x14ac:dyDescent="0.35">
      <c r="A63" s="1">
        <v>40</v>
      </c>
      <c r="B63" s="1">
        <v>55</v>
      </c>
      <c r="C63" s="1">
        <v>62</v>
      </c>
      <c r="D63" s="1" t="s">
        <v>32</v>
      </c>
      <c r="E63" s="1">
        <f t="shared" si="1"/>
        <v>6.0483870967741934E-3</v>
      </c>
    </row>
    <row r="64" spans="1:5" x14ac:dyDescent="0.35">
      <c r="A64" s="1">
        <v>40</v>
      </c>
      <c r="B64" s="1">
        <v>55</v>
      </c>
      <c r="C64" s="1">
        <v>62</v>
      </c>
      <c r="D64" s="1" t="s">
        <v>32</v>
      </c>
      <c r="E64" s="1">
        <f t="shared" si="1"/>
        <v>6.0483870967741934E-3</v>
      </c>
    </row>
    <row r="65" spans="1:5" x14ac:dyDescent="0.35">
      <c r="A65" s="1">
        <v>40</v>
      </c>
      <c r="B65" s="1">
        <v>55</v>
      </c>
      <c r="C65" s="1">
        <v>62</v>
      </c>
      <c r="D65" s="1" t="s">
        <v>32</v>
      </c>
      <c r="E65" s="1">
        <f t="shared" si="1"/>
        <v>6.0483870967741934E-3</v>
      </c>
    </row>
    <row r="66" spans="1:5" x14ac:dyDescent="0.35">
      <c r="A66" s="1">
        <v>40</v>
      </c>
      <c r="B66" s="1">
        <v>55</v>
      </c>
      <c r="C66" s="1">
        <v>62</v>
      </c>
      <c r="D66" s="1" t="s">
        <v>32</v>
      </c>
      <c r="E66" s="1">
        <f t="shared" ref="E66:E101" si="2">((B66/A66)-1)/C66</f>
        <v>6.0483870967741934E-3</v>
      </c>
    </row>
    <row r="67" spans="1:5" x14ac:dyDescent="0.35">
      <c r="A67" s="1">
        <v>40</v>
      </c>
      <c r="B67" s="1">
        <v>55</v>
      </c>
      <c r="C67" s="1">
        <v>62</v>
      </c>
      <c r="D67" s="1" t="s">
        <v>32</v>
      </c>
      <c r="E67" s="1">
        <f t="shared" si="2"/>
        <v>6.0483870967741934E-3</v>
      </c>
    </row>
    <row r="68" spans="1:5" x14ac:dyDescent="0.35">
      <c r="A68" s="1">
        <v>40</v>
      </c>
      <c r="B68" s="1">
        <v>55</v>
      </c>
      <c r="C68" s="1">
        <v>62</v>
      </c>
      <c r="D68" s="1" t="s">
        <v>32</v>
      </c>
      <c r="E68" s="1">
        <f t="shared" si="2"/>
        <v>6.0483870967741934E-3</v>
      </c>
    </row>
    <row r="69" spans="1:5" x14ac:dyDescent="0.35">
      <c r="A69" s="1">
        <v>40</v>
      </c>
      <c r="B69" s="1">
        <v>55</v>
      </c>
      <c r="C69" s="1">
        <v>62</v>
      </c>
      <c r="D69" s="1" t="s">
        <v>32</v>
      </c>
      <c r="E69" s="1">
        <f t="shared" si="2"/>
        <v>6.0483870967741934E-3</v>
      </c>
    </row>
    <row r="70" spans="1:5" x14ac:dyDescent="0.35">
      <c r="A70" s="1">
        <v>40</v>
      </c>
      <c r="B70" s="1">
        <v>55</v>
      </c>
      <c r="C70" s="1">
        <v>62</v>
      </c>
      <c r="D70" s="1" t="s">
        <v>32</v>
      </c>
      <c r="E70" s="1">
        <f t="shared" si="2"/>
        <v>6.0483870967741934E-3</v>
      </c>
    </row>
    <row r="71" spans="1:5" x14ac:dyDescent="0.35">
      <c r="A71" s="1">
        <v>40</v>
      </c>
      <c r="B71" s="1">
        <v>55</v>
      </c>
      <c r="C71" s="1">
        <v>62</v>
      </c>
      <c r="D71" s="1" t="s">
        <v>32</v>
      </c>
      <c r="E71" s="1">
        <f t="shared" si="2"/>
        <v>6.0483870967741934E-3</v>
      </c>
    </row>
    <row r="72" spans="1:5" x14ac:dyDescent="0.35">
      <c r="A72" s="1">
        <v>27</v>
      </c>
      <c r="B72" s="1">
        <v>50</v>
      </c>
      <c r="C72" s="1">
        <v>21</v>
      </c>
      <c r="D72" s="1" t="s">
        <v>32</v>
      </c>
      <c r="E72" s="1">
        <f t="shared" si="2"/>
        <v>4.0564373897707229E-2</v>
      </c>
    </row>
    <row r="73" spans="1:5" x14ac:dyDescent="0.35">
      <c r="A73" s="1">
        <v>27</v>
      </c>
      <c r="B73" s="1">
        <v>50</v>
      </c>
      <c r="C73" s="1">
        <v>21</v>
      </c>
      <c r="D73" s="1" t="s">
        <v>32</v>
      </c>
      <c r="E73" s="1">
        <f t="shared" si="2"/>
        <v>4.0564373897707229E-2</v>
      </c>
    </row>
    <row r="74" spans="1:5" x14ac:dyDescent="0.35">
      <c r="A74" s="1">
        <v>27</v>
      </c>
      <c r="B74" s="1">
        <v>50</v>
      </c>
      <c r="C74" s="1">
        <v>21</v>
      </c>
      <c r="D74" s="1" t="s">
        <v>32</v>
      </c>
      <c r="E74" s="1">
        <f t="shared" si="2"/>
        <v>4.0564373897707229E-2</v>
      </c>
    </row>
    <row r="75" spans="1:5" x14ac:dyDescent="0.35">
      <c r="A75" s="1">
        <v>27</v>
      </c>
      <c r="B75" s="1">
        <v>50</v>
      </c>
      <c r="C75" s="1">
        <v>21</v>
      </c>
      <c r="D75" s="1" t="s">
        <v>32</v>
      </c>
      <c r="E75" s="1">
        <f t="shared" si="2"/>
        <v>4.0564373897707229E-2</v>
      </c>
    </row>
    <row r="76" spans="1:5" x14ac:dyDescent="0.35">
      <c r="A76" s="1">
        <v>27</v>
      </c>
      <c r="B76" s="1">
        <v>50</v>
      </c>
      <c r="C76" s="1">
        <v>21</v>
      </c>
      <c r="D76" s="1" t="s">
        <v>32</v>
      </c>
      <c r="E76" s="1">
        <f t="shared" si="2"/>
        <v>4.0564373897707229E-2</v>
      </c>
    </row>
    <row r="77" spans="1:5" x14ac:dyDescent="0.35">
      <c r="A77" s="1">
        <v>27</v>
      </c>
      <c r="B77" s="1">
        <v>50</v>
      </c>
      <c r="C77" s="1">
        <v>21</v>
      </c>
      <c r="D77" s="1" t="s">
        <v>32</v>
      </c>
      <c r="E77" s="1">
        <f t="shared" si="2"/>
        <v>4.0564373897707229E-2</v>
      </c>
    </row>
    <row r="78" spans="1:5" x14ac:dyDescent="0.35">
      <c r="A78" s="1">
        <v>27</v>
      </c>
      <c r="B78" s="1">
        <v>50</v>
      </c>
      <c r="C78" s="1">
        <v>21</v>
      </c>
      <c r="D78" s="1" t="s">
        <v>32</v>
      </c>
      <c r="E78" s="1">
        <f t="shared" si="2"/>
        <v>4.0564373897707229E-2</v>
      </c>
    </row>
    <row r="79" spans="1:5" x14ac:dyDescent="0.35">
      <c r="A79" s="1">
        <v>27</v>
      </c>
      <c r="B79" s="1">
        <v>50</v>
      </c>
      <c r="C79" s="1">
        <v>21</v>
      </c>
      <c r="D79" s="1" t="s">
        <v>32</v>
      </c>
      <c r="E79" s="1">
        <f t="shared" si="2"/>
        <v>4.0564373897707229E-2</v>
      </c>
    </row>
    <row r="80" spans="1:5" x14ac:dyDescent="0.35">
      <c r="A80" s="1">
        <v>27</v>
      </c>
      <c r="B80" s="1">
        <v>50</v>
      </c>
      <c r="C80" s="1">
        <v>21</v>
      </c>
      <c r="D80" s="1" t="s">
        <v>32</v>
      </c>
      <c r="E80" s="1">
        <f t="shared" si="2"/>
        <v>4.0564373897707229E-2</v>
      </c>
    </row>
    <row r="81" spans="1:7" x14ac:dyDescent="0.35">
      <c r="A81" s="1">
        <v>27</v>
      </c>
      <c r="B81" s="1">
        <v>50</v>
      </c>
      <c r="C81" s="1">
        <v>21</v>
      </c>
      <c r="D81" s="1" t="s">
        <v>32</v>
      </c>
      <c r="E81" s="1">
        <f t="shared" si="2"/>
        <v>4.0564373897707229E-2</v>
      </c>
      <c r="G81">
        <f>GEOMEAN(E81:E82)</f>
        <v>6.4501539554440476E-2</v>
      </c>
    </row>
    <row r="82" spans="1:7" x14ac:dyDescent="0.35">
      <c r="A82" s="1">
        <v>15</v>
      </c>
      <c r="B82" s="1">
        <v>35</v>
      </c>
      <c r="C82" s="1">
        <v>13</v>
      </c>
      <c r="D82" s="1" t="s">
        <v>39</v>
      </c>
      <c r="E82" s="1">
        <f t="shared" si="2"/>
        <v>0.10256410256410257</v>
      </c>
    </row>
    <row r="83" spans="1:7" x14ac:dyDescent="0.35">
      <c r="A83" s="1">
        <v>15</v>
      </c>
      <c r="B83" s="1">
        <v>35</v>
      </c>
      <c r="C83" s="1">
        <v>13</v>
      </c>
      <c r="D83" s="1" t="s">
        <v>39</v>
      </c>
      <c r="E83" s="1">
        <f t="shared" si="2"/>
        <v>0.10256410256410257</v>
      </c>
    </row>
    <row r="84" spans="1:7" x14ac:dyDescent="0.35">
      <c r="A84" s="1">
        <v>15</v>
      </c>
      <c r="B84" s="1">
        <v>35</v>
      </c>
      <c r="C84" s="1">
        <v>13</v>
      </c>
      <c r="D84" s="1" t="s">
        <v>39</v>
      </c>
      <c r="E84" s="1">
        <f t="shared" si="2"/>
        <v>0.10256410256410257</v>
      </c>
    </row>
    <row r="85" spans="1:7" x14ac:dyDescent="0.35">
      <c r="A85" s="1">
        <v>15</v>
      </c>
      <c r="B85" s="1">
        <v>35</v>
      </c>
      <c r="C85" s="1">
        <v>13</v>
      </c>
      <c r="D85" s="1" t="s">
        <v>39</v>
      </c>
      <c r="E85" s="1">
        <f t="shared" si="2"/>
        <v>0.10256410256410257</v>
      </c>
    </row>
    <row r="86" spans="1:7" x14ac:dyDescent="0.35">
      <c r="A86" s="1">
        <v>15</v>
      </c>
      <c r="B86" s="1">
        <v>35</v>
      </c>
      <c r="C86" s="1">
        <v>13</v>
      </c>
      <c r="D86" s="1" t="s">
        <v>39</v>
      </c>
      <c r="E86" s="1">
        <f t="shared" si="2"/>
        <v>0.10256410256410257</v>
      </c>
    </row>
    <row r="87" spans="1:7" x14ac:dyDescent="0.35">
      <c r="A87" s="1">
        <v>15</v>
      </c>
      <c r="B87" s="1">
        <v>35</v>
      </c>
      <c r="C87" s="1">
        <v>13</v>
      </c>
      <c r="D87" s="1" t="s">
        <v>39</v>
      </c>
      <c r="E87" s="1">
        <f t="shared" si="2"/>
        <v>0.10256410256410257</v>
      </c>
    </row>
    <row r="88" spans="1:7" x14ac:dyDescent="0.35">
      <c r="A88" s="1">
        <v>15</v>
      </c>
      <c r="B88" s="1">
        <v>35</v>
      </c>
      <c r="C88" s="1">
        <v>13</v>
      </c>
      <c r="D88" s="1" t="s">
        <v>39</v>
      </c>
      <c r="E88" s="1">
        <f t="shared" si="2"/>
        <v>0.10256410256410257</v>
      </c>
    </row>
    <row r="89" spans="1:7" x14ac:dyDescent="0.35">
      <c r="A89" s="1">
        <v>15</v>
      </c>
      <c r="B89" s="1">
        <v>35</v>
      </c>
      <c r="C89" s="1">
        <v>13</v>
      </c>
      <c r="D89" s="1" t="s">
        <v>39</v>
      </c>
      <c r="E89" s="1">
        <f t="shared" si="2"/>
        <v>0.10256410256410257</v>
      </c>
    </row>
    <row r="90" spans="1:7" x14ac:dyDescent="0.35">
      <c r="A90" s="1">
        <v>15</v>
      </c>
      <c r="B90" s="1">
        <v>35</v>
      </c>
      <c r="C90" s="1">
        <v>13</v>
      </c>
      <c r="D90" s="1" t="s">
        <v>39</v>
      </c>
      <c r="E90" s="1">
        <f t="shared" si="2"/>
        <v>0.10256410256410257</v>
      </c>
    </row>
    <row r="91" spans="1:7" x14ac:dyDescent="0.35">
      <c r="A91" s="1">
        <v>15</v>
      </c>
      <c r="B91" s="1">
        <v>35</v>
      </c>
      <c r="C91" s="1">
        <v>13</v>
      </c>
      <c r="D91" s="1" t="s">
        <v>39</v>
      </c>
      <c r="E91" s="1">
        <f t="shared" si="2"/>
        <v>0.10256410256410257</v>
      </c>
    </row>
    <row r="92" spans="1:7" x14ac:dyDescent="0.35">
      <c r="A92" s="1">
        <v>11</v>
      </c>
      <c r="B92" s="1">
        <v>30</v>
      </c>
      <c r="C92" s="1">
        <v>7</v>
      </c>
      <c r="D92" s="1" t="s">
        <v>39</v>
      </c>
      <c r="E92" s="1">
        <f t="shared" si="2"/>
        <v>0.24675324675324672</v>
      </c>
    </row>
    <row r="93" spans="1:7" x14ac:dyDescent="0.35">
      <c r="A93" s="1">
        <v>11</v>
      </c>
      <c r="B93" s="1">
        <v>30</v>
      </c>
      <c r="C93" s="1">
        <v>7</v>
      </c>
      <c r="D93" s="1" t="s">
        <v>39</v>
      </c>
      <c r="E93" s="1">
        <f t="shared" si="2"/>
        <v>0.24675324675324672</v>
      </c>
    </row>
    <row r="94" spans="1:7" x14ac:dyDescent="0.35">
      <c r="A94" s="1">
        <v>11</v>
      </c>
      <c r="B94" s="1">
        <v>30</v>
      </c>
      <c r="C94" s="1">
        <v>7</v>
      </c>
      <c r="D94" s="1" t="s">
        <v>39</v>
      </c>
      <c r="E94" s="1">
        <f t="shared" si="2"/>
        <v>0.24675324675324672</v>
      </c>
    </row>
    <row r="95" spans="1:7" x14ac:dyDescent="0.35">
      <c r="A95" s="1">
        <v>11</v>
      </c>
      <c r="B95" s="1">
        <v>30</v>
      </c>
      <c r="C95" s="1">
        <v>7</v>
      </c>
      <c r="D95" s="1" t="s">
        <v>39</v>
      </c>
      <c r="E95" s="1">
        <f t="shared" si="2"/>
        <v>0.24675324675324672</v>
      </c>
    </row>
    <row r="96" spans="1:7" x14ac:dyDescent="0.35">
      <c r="A96" s="1">
        <v>11</v>
      </c>
      <c r="B96" s="1">
        <v>30</v>
      </c>
      <c r="C96" s="1">
        <v>7</v>
      </c>
      <c r="D96" s="1" t="s">
        <v>39</v>
      </c>
      <c r="E96" s="1">
        <f t="shared" si="2"/>
        <v>0.24675324675324672</v>
      </c>
    </row>
    <row r="97" spans="1:5" x14ac:dyDescent="0.35">
      <c r="A97" s="1">
        <v>11</v>
      </c>
      <c r="B97" s="1">
        <v>30</v>
      </c>
      <c r="C97" s="1">
        <v>7</v>
      </c>
      <c r="D97" s="1" t="s">
        <v>39</v>
      </c>
      <c r="E97" s="1">
        <f t="shared" si="2"/>
        <v>0.24675324675324672</v>
      </c>
    </row>
    <row r="98" spans="1:5" x14ac:dyDescent="0.35">
      <c r="A98" s="1">
        <v>11</v>
      </c>
      <c r="B98" s="1">
        <v>30</v>
      </c>
      <c r="C98" s="1">
        <v>7</v>
      </c>
      <c r="D98" s="1" t="s">
        <v>39</v>
      </c>
      <c r="E98" s="1">
        <f t="shared" si="2"/>
        <v>0.24675324675324672</v>
      </c>
    </row>
    <row r="99" spans="1:5" x14ac:dyDescent="0.35">
      <c r="A99" s="1">
        <v>11</v>
      </c>
      <c r="B99" s="1">
        <v>30</v>
      </c>
      <c r="C99" s="1">
        <v>7</v>
      </c>
      <c r="D99" s="1" t="s">
        <v>39</v>
      </c>
      <c r="E99" s="1">
        <f t="shared" si="2"/>
        <v>0.24675324675324672</v>
      </c>
    </row>
    <row r="100" spans="1:5" x14ac:dyDescent="0.35">
      <c r="A100" s="1">
        <v>11</v>
      </c>
      <c r="B100" s="1">
        <v>30</v>
      </c>
      <c r="C100" s="1">
        <v>7</v>
      </c>
      <c r="D100" s="1" t="s">
        <v>39</v>
      </c>
      <c r="E100" s="1">
        <f t="shared" si="2"/>
        <v>0.24675324675324672</v>
      </c>
    </row>
    <row r="101" spans="1:5" x14ac:dyDescent="0.35">
      <c r="A101" s="1">
        <v>11</v>
      </c>
      <c r="B101" s="1">
        <v>30</v>
      </c>
      <c r="C101" s="1">
        <v>7</v>
      </c>
      <c r="D101" s="1" t="s">
        <v>39</v>
      </c>
      <c r="E101" s="1">
        <f t="shared" si="2"/>
        <v>0.24675324675324672</v>
      </c>
    </row>
  </sheetData>
  <sortState ref="A2:E101">
    <sortCondition ref="E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opLeftCell="A87" workbookViewId="0">
      <selection activeCell="G112" sqref="G112"/>
    </sheetView>
  </sheetViews>
  <sheetFormatPr defaultRowHeight="14.5" x14ac:dyDescent="0.35"/>
  <cols>
    <col min="1" max="3" width="8.7265625" style="1"/>
    <col min="4" max="4" width="11.5429687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6</v>
      </c>
      <c r="E1" t="s">
        <v>49</v>
      </c>
    </row>
    <row r="2" spans="1:5" x14ac:dyDescent="0.35">
      <c r="A2" s="1">
        <v>78</v>
      </c>
      <c r="B2" s="1">
        <v>80</v>
      </c>
      <c r="C2" s="1">
        <v>162</v>
      </c>
      <c r="D2" s="1" t="s">
        <v>32</v>
      </c>
      <c r="E2">
        <f t="shared" ref="E2:E33" si="0">((B2/A2)-1)/C2</f>
        <v>1.5827793605571326E-4</v>
      </c>
    </row>
    <row r="3" spans="1:5" x14ac:dyDescent="0.35">
      <c r="A3" s="1">
        <v>78</v>
      </c>
      <c r="B3" s="1">
        <v>80</v>
      </c>
      <c r="C3" s="1">
        <v>162</v>
      </c>
      <c r="D3" s="1" t="s">
        <v>32</v>
      </c>
      <c r="E3" s="1">
        <f t="shared" si="0"/>
        <v>1.5827793605571326E-4</v>
      </c>
    </row>
    <row r="4" spans="1:5" x14ac:dyDescent="0.35">
      <c r="A4" s="1">
        <v>78</v>
      </c>
      <c r="B4" s="1">
        <v>80</v>
      </c>
      <c r="C4" s="1">
        <v>162</v>
      </c>
      <c r="D4" s="1" t="s">
        <v>32</v>
      </c>
      <c r="E4" s="1">
        <f t="shared" si="0"/>
        <v>1.5827793605571326E-4</v>
      </c>
    </row>
    <row r="5" spans="1:5" x14ac:dyDescent="0.35">
      <c r="A5" s="1">
        <v>78</v>
      </c>
      <c r="B5" s="1">
        <v>80</v>
      </c>
      <c r="C5" s="1">
        <v>162</v>
      </c>
      <c r="D5" s="1" t="s">
        <v>32</v>
      </c>
      <c r="E5" s="1">
        <f t="shared" si="0"/>
        <v>1.5827793605571326E-4</v>
      </c>
    </row>
    <row r="6" spans="1:5" x14ac:dyDescent="0.35">
      <c r="A6" s="1">
        <v>78</v>
      </c>
      <c r="B6" s="1">
        <v>80</v>
      </c>
      <c r="C6" s="1">
        <v>162</v>
      </c>
      <c r="D6" s="1" t="s">
        <v>32</v>
      </c>
      <c r="E6" s="1">
        <f t="shared" si="0"/>
        <v>1.5827793605571326E-4</v>
      </c>
    </row>
    <row r="7" spans="1:5" x14ac:dyDescent="0.35">
      <c r="A7" s="1">
        <v>78</v>
      </c>
      <c r="B7" s="1">
        <v>80</v>
      </c>
      <c r="C7" s="1">
        <v>162</v>
      </c>
      <c r="D7" s="1" t="s">
        <v>32</v>
      </c>
      <c r="E7" s="1">
        <f t="shared" si="0"/>
        <v>1.5827793605571326E-4</v>
      </c>
    </row>
    <row r="8" spans="1:5" x14ac:dyDescent="0.35">
      <c r="A8" s="1">
        <v>78</v>
      </c>
      <c r="B8" s="1">
        <v>80</v>
      </c>
      <c r="C8" s="1">
        <v>162</v>
      </c>
      <c r="D8" s="1" t="s">
        <v>32</v>
      </c>
      <c r="E8" s="1">
        <f t="shared" si="0"/>
        <v>1.5827793605571326E-4</v>
      </c>
    </row>
    <row r="9" spans="1:5" x14ac:dyDescent="0.35">
      <c r="A9" s="1">
        <v>78</v>
      </c>
      <c r="B9" s="1">
        <v>80</v>
      </c>
      <c r="C9" s="1">
        <v>162</v>
      </c>
      <c r="D9" s="1" t="s">
        <v>32</v>
      </c>
      <c r="E9" s="1">
        <f t="shared" si="0"/>
        <v>1.5827793605571326E-4</v>
      </c>
    </row>
    <row r="10" spans="1:5" x14ac:dyDescent="0.35">
      <c r="A10" s="1">
        <v>78</v>
      </c>
      <c r="B10" s="1">
        <v>80</v>
      </c>
      <c r="C10" s="1">
        <v>162</v>
      </c>
      <c r="D10" s="1" t="s">
        <v>32</v>
      </c>
      <c r="E10" s="1">
        <f t="shared" si="0"/>
        <v>1.5827793605571326E-4</v>
      </c>
    </row>
    <row r="11" spans="1:5" x14ac:dyDescent="0.35">
      <c r="A11" s="1">
        <v>78</v>
      </c>
      <c r="B11" s="1">
        <v>80</v>
      </c>
      <c r="C11" s="1">
        <v>162</v>
      </c>
      <c r="D11" s="1" t="s">
        <v>32</v>
      </c>
      <c r="E11" s="1">
        <f t="shared" si="0"/>
        <v>1.5827793605571326E-4</v>
      </c>
    </row>
    <row r="12" spans="1:5" x14ac:dyDescent="0.35">
      <c r="A12" s="1">
        <v>110</v>
      </c>
      <c r="B12" s="1">
        <v>135</v>
      </c>
      <c r="C12" s="1">
        <v>270</v>
      </c>
      <c r="D12" s="1" t="s">
        <v>32</v>
      </c>
      <c r="E12" s="1">
        <f t="shared" si="0"/>
        <v>8.4175084175084182E-4</v>
      </c>
    </row>
    <row r="13" spans="1:5" x14ac:dyDescent="0.35">
      <c r="A13" s="1">
        <v>110</v>
      </c>
      <c r="B13" s="1">
        <v>135</v>
      </c>
      <c r="C13" s="1">
        <v>270</v>
      </c>
      <c r="D13" s="1" t="s">
        <v>32</v>
      </c>
      <c r="E13" s="1">
        <f t="shared" si="0"/>
        <v>8.4175084175084182E-4</v>
      </c>
    </row>
    <row r="14" spans="1:5" x14ac:dyDescent="0.35">
      <c r="A14" s="1">
        <v>110</v>
      </c>
      <c r="B14" s="1">
        <v>135</v>
      </c>
      <c r="C14" s="1">
        <v>270</v>
      </c>
      <c r="D14" s="1" t="s">
        <v>32</v>
      </c>
      <c r="E14" s="1">
        <f t="shared" si="0"/>
        <v>8.4175084175084182E-4</v>
      </c>
    </row>
    <row r="15" spans="1:5" x14ac:dyDescent="0.35">
      <c r="A15" s="1">
        <v>110</v>
      </c>
      <c r="B15" s="1">
        <v>135</v>
      </c>
      <c r="C15" s="1">
        <v>270</v>
      </c>
      <c r="D15" s="1" t="s">
        <v>32</v>
      </c>
      <c r="E15" s="1">
        <f t="shared" si="0"/>
        <v>8.4175084175084182E-4</v>
      </c>
    </row>
    <row r="16" spans="1:5" x14ac:dyDescent="0.35">
      <c r="A16" s="1">
        <v>110</v>
      </c>
      <c r="B16" s="1">
        <v>135</v>
      </c>
      <c r="C16" s="1">
        <v>270</v>
      </c>
      <c r="D16" s="1" t="s">
        <v>32</v>
      </c>
      <c r="E16" s="1">
        <f t="shared" si="0"/>
        <v>8.4175084175084182E-4</v>
      </c>
    </row>
    <row r="17" spans="1:5" x14ac:dyDescent="0.35">
      <c r="A17" s="1">
        <v>110</v>
      </c>
      <c r="B17" s="1">
        <v>135</v>
      </c>
      <c r="C17" s="1">
        <v>270</v>
      </c>
      <c r="D17" s="1" t="s">
        <v>32</v>
      </c>
      <c r="E17" s="1">
        <f t="shared" si="0"/>
        <v>8.4175084175084182E-4</v>
      </c>
    </row>
    <row r="18" spans="1:5" x14ac:dyDescent="0.35">
      <c r="A18" s="1">
        <v>110</v>
      </c>
      <c r="B18" s="1">
        <v>135</v>
      </c>
      <c r="C18" s="1">
        <v>270</v>
      </c>
      <c r="D18" s="1" t="s">
        <v>32</v>
      </c>
      <c r="E18" s="1">
        <f t="shared" si="0"/>
        <v>8.4175084175084182E-4</v>
      </c>
    </row>
    <row r="19" spans="1:5" x14ac:dyDescent="0.35">
      <c r="A19" s="1">
        <v>110</v>
      </c>
      <c r="B19" s="1">
        <v>135</v>
      </c>
      <c r="C19" s="1">
        <v>270</v>
      </c>
      <c r="D19" s="1" t="s">
        <v>32</v>
      </c>
      <c r="E19" s="1">
        <f t="shared" si="0"/>
        <v>8.4175084175084182E-4</v>
      </c>
    </row>
    <row r="20" spans="1:5" x14ac:dyDescent="0.35">
      <c r="A20" s="1">
        <v>110</v>
      </c>
      <c r="B20" s="1">
        <v>135</v>
      </c>
      <c r="C20" s="1">
        <v>270</v>
      </c>
      <c r="D20" s="1" t="s">
        <v>32</v>
      </c>
      <c r="E20" s="1">
        <f t="shared" si="0"/>
        <v>8.4175084175084182E-4</v>
      </c>
    </row>
    <row r="21" spans="1:5" x14ac:dyDescent="0.35">
      <c r="A21" s="1">
        <v>110</v>
      </c>
      <c r="B21" s="1">
        <v>135</v>
      </c>
      <c r="C21" s="1">
        <v>270</v>
      </c>
      <c r="D21" s="1" t="s">
        <v>32</v>
      </c>
      <c r="E21" s="1">
        <f t="shared" si="0"/>
        <v>8.4175084175084182E-4</v>
      </c>
    </row>
    <row r="22" spans="1:5" x14ac:dyDescent="0.35">
      <c r="A22" s="1">
        <v>88</v>
      </c>
      <c r="B22" s="1">
        <v>105</v>
      </c>
      <c r="C22" s="1">
        <v>200</v>
      </c>
      <c r="D22" s="1" t="s">
        <v>32</v>
      </c>
      <c r="E22" s="1">
        <f t="shared" si="0"/>
        <v>9.6590909090909062E-4</v>
      </c>
    </row>
    <row r="23" spans="1:5" x14ac:dyDescent="0.35">
      <c r="A23" s="1">
        <v>88</v>
      </c>
      <c r="B23" s="1">
        <v>105</v>
      </c>
      <c r="C23" s="1">
        <v>200</v>
      </c>
      <c r="D23" s="1" t="s">
        <v>32</v>
      </c>
      <c r="E23" s="1">
        <f t="shared" si="0"/>
        <v>9.6590909090909062E-4</v>
      </c>
    </row>
    <row r="24" spans="1:5" x14ac:dyDescent="0.35">
      <c r="A24" s="1">
        <v>88</v>
      </c>
      <c r="B24" s="1">
        <v>105</v>
      </c>
      <c r="C24" s="1">
        <v>200</v>
      </c>
      <c r="D24" s="1" t="s">
        <v>32</v>
      </c>
      <c r="E24" s="1">
        <f t="shared" si="0"/>
        <v>9.6590909090909062E-4</v>
      </c>
    </row>
    <row r="25" spans="1:5" x14ac:dyDescent="0.35">
      <c r="A25" s="1">
        <v>88</v>
      </c>
      <c r="B25" s="1">
        <v>105</v>
      </c>
      <c r="C25" s="1">
        <v>200</v>
      </c>
      <c r="D25" s="1" t="s">
        <v>32</v>
      </c>
      <c r="E25" s="1">
        <f t="shared" si="0"/>
        <v>9.6590909090909062E-4</v>
      </c>
    </row>
    <row r="26" spans="1:5" x14ac:dyDescent="0.35">
      <c r="A26" s="1">
        <v>88</v>
      </c>
      <c r="B26" s="1">
        <v>105</v>
      </c>
      <c r="C26" s="1">
        <v>200</v>
      </c>
      <c r="D26" s="1" t="s">
        <v>32</v>
      </c>
      <c r="E26" s="1">
        <f t="shared" si="0"/>
        <v>9.6590909090909062E-4</v>
      </c>
    </row>
    <row r="27" spans="1:5" x14ac:dyDescent="0.35">
      <c r="A27" s="1">
        <v>88</v>
      </c>
      <c r="B27" s="1">
        <v>105</v>
      </c>
      <c r="C27" s="1">
        <v>200</v>
      </c>
      <c r="D27" s="1" t="s">
        <v>32</v>
      </c>
      <c r="E27" s="1">
        <f t="shared" si="0"/>
        <v>9.6590909090909062E-4</v>
      </c>
    </row>
    <row r="28" spans="1:5" x14ac:dyDescent="0.35">
      <c r="A28" s="1">
        <v>88</v>
      </c>
      <c r="B28" s="1">
        <v>105</v>
      </c>
      <c r="C28" s="1">
        <v>200</v>
      </c>
      <c r="D28" s="1" t="s">
        <v>32</v>
      </c>
      <c r="E28" s="1">
        <f t="shared" si="0"/>
        <v>9.6590909090909062E-4</v>
      </c>
    </row>
    <row r="29" spans="1:5" x14ac:dyDescent="0.35">
      <c r="A29" s="1">
        <v>88</v>
      </c>
      <c r="B29" s="1">
        <v>105</v>
      </c>
      <c r="C29" s="1">
        <v>200</v>
      </c>
      <c r="D29" s="1" t="s">
        <v>32</v>
      </c>
      <c r="E29" s="1">
        <f t="shared" si="0"/>
        <v>9.6590909090909062E-4</v>
      </c>
    </row>
    <row r="30" spans="1:5" x14ac:dyDescent="0.35">
      <c r="A30" s="1">
        <v>88</v>
      </c>
      <c r="B30" s="1">
        <v>105</v>
      </c>
      <c r="C30" s="1">
        <v>200</v>
      </c>
      <c r="D30" s="1" t="s">
        <v>32</v>
      </c>
      <c r="E30" s="1">
        <f t="shared" si="0"/>
        <v>9.6590909090909062E-4</v>
      </c>
    </row>
    <row r="31" spans="1:5" x14ac:dyDescent="0.35">
      <c r="A31" s="1">
        <v>88</v>
      </c>
      <c r="B31" s="1">
        <v>105</v>
      </c>
      <c r="C31" s="1">
        <v>200</v>
      </c>
      <c r="D31" s="1" t="s">
        <v>32</v>
      </c>
      <c r="E31" s="1">
        <f t="shared" si="0"/>
        <v>9.6590909090909062E-4</v>
      </c>
    </row>
    <row r="32" spans="1:5" x14ac:dyDescent="0.35">
      <c r="A32" s="1">
        <v>98</v>
      </c>
      <c r="B32" s="1">
        <v>120</v>
      </c>
      <c r="C32" s="1">
        <v>230</v>
      </c>
      <c r="D32" s="1" t="s">
        <v>32</v>
      </c>
      <c r="E32" s="1">
        <f t="shared" si="0"/>
        <v>9.7604259094942339E-4</v>
      </c>
    </row>
    <row r="33" spans="1:5" x14ac:dyDescent="0.35">
      <c r="A33" s="1">
        <v>98</v>
      </c>
      <c r="B33" s="1">
        <v>120</v>
      </c>
      <c r="C33" s="1">
        <v>230</v>
      </c>
      <c r="D33" s="1" t="s">
        <v>32</v>
      </c>
      <c r="E33" s="1">
        <f t="shared" si="0"/>
        <v>9.7604259094942339E-4</v>
      </c>
    </row>
    <row r="34" spans="1:5" x14ac:dyDescent="0.35">
      <c r="A34" s="1">
        <v>98</v>
      </c>
      <c r="B34" s="1">
        <v>120</v>
      </c>
      <c r="C34" s="1">
        <v>230</v>
      </c>
      <c r="D34" s="1" t="s">
        <v>32</v>
      </c>
      <c r="E34" s="1">
        <f t="shared" ref="E34:E65" si="1">((B34/A34)-1)/C34</f>
        <v>9.7604259094942339E-4</v>
      </c>
    </row>
    <row r="35" spans="1:5" x14ac:dyDescent="0.35">
      <c r="A35" s="1">
        <v>98</v>
      </c>
      <c r="B35" s="1">
        <v>120</v>
      </c>
      <c r="C35" s="1">
        <v>230</v>
      </c>
      <c r="D35" s="1" t="s">
        <v>32</v>
      </c>
      <c r="E35" s="1">
        <f t="shared" si="1"/>
        <v>9.7604259094942339E-4</v>
      </c>
    </row>
    <row r="36" spans="1:5" x14ac:dyDescent="0.35">
      <c r="A36" s="1">
        <v>98</v>
      </c>
      <c r="B36" s="1">
        <v>120</v>
      </c>
      <c r="C36" s="1">
        <v>230</v>
      </c>
      <c r="D36" s="1" t="s">
        <v>32</v>
      </c>
      <c r="E36" s="1">
        <f t="shared" si="1"/>
        <v>9.7604259094942339E-4</v>
      </c>
    </row>
    <row r="37" spans="1:5" x14ac:dyDescent="0.35">
      <c r="A37" s="1">
        <v>98</v>
      </c>
      <c r="B37" s="1">
        <v>120</v>
      </c>
      <c r="C37" s="1">
        <v>230</v>
      </c>
      <c r="D37" s="1" t="s">
        <v>32</v>
      </c>
      <c r="E37" s="1">
        <f t="shared" si="1"/>
        <v>9.7604259094942339E-4</v>
      </c>
    </row>
    <row r="38" spans="1:5" x14ac:dyDescent="0.35">
      <c r="A38" s="1">
        <v>98</v>
      </c>
      <c r="B38" s="1">
        <v>120</v>
      </c>
      <c r="C38" s="1">
        <v>230</v>
      </c>
      <c r="D38" s="1" t="s">
        <v>32</v>
      </c>
      <c r="E38" s="1">
        <f t="shared" si="1"/>
        <v>9.7604259094942339E-4</v>
      </c>
    </row>
    <row r="39" spans="1:5" x14ac:dyDescent="0.35">
      <c r="A39" s="1">
        <v>98</v>
      </c>
      <c r="B39" s="1">
        <v>120</v>
      </c>
      <c r="C39" s="1">
        <v>230</v>
      </c>
      <c r="D39" s="1" t="s">
        <v>32</v>
      </c>
      <c r="E39" s="1">
        <f t="shared" si="1"/>
        <v>9.7604259094942339E-4</v>
      </c>
    </row>
    <row r="40" spans="1:5" x14ac:dyDescent="0.35">
      <c r="A40" s="1">
        <v>98</v>
      </c>
      <c r="B40" s="1">
        <v>120</v>
      </c>
      <c r="C40" s="1">
        <v>230</v>
      </c>
      <c r="D40" s="1" t="s">
        <v>32</v>
      </c>
      <c r="E40" s="1">
        <f t="shared" si="1"/>
        <v>9.7604259094942339E-4</v>
      </c>
    </row>
    <row r="41" spans="1:5" x14ac:dyDescent="0.35">
      <c r="A41" s="1">
        <v>98</v>
      </c>
      <c r="B41" s="1">
        <v>120</v>
      </c>
      <c r="C41" s="1">
        <v>230</v>
      </c>
      <c r="D41" s="1" t="s">
        <v>32</v>
      </c>
      <c r="E41" s="1">
        <f t="shared" si="1"/>
        <v>9.7604259094942339E-4</v>
      </c>
    </row>
    <row r="42" spans="1:5" x14ac:dyDescent="0.35">
      <c r="A42" s="1">
        <v>67</v>
      </c>
      <c r="B42" s="1">
        <v>75</v>
      </c>
      <c r="C42" s="1">
        <v>119</v>
      </c>
      <c r="D42" s="1" t="s">
        <v>32</v>
      </c>
      <c r="E42" s="1">
        <f t="shared" si="1"/>
        <v>1.0033864291985443E-3</v>
      </c>
    </row>
    <row r="43" spans="1:5" x14ac:dyDescent="0.35">
      <c r="A43" s="1">
        <v>67</v>
      </c>
      <c r="B43" s="1">
        <v>75</v>
      </c>
      <c r="C43" s="1">
        <v>119</v>
      </c>
      <c r="D43" s="1" t="s">
        <v>32</v>
      </c>
      <c r="E43" s="1">
        <f t="shared" si="1"/>
        <v>1.0033864291985443E-3</v>
      </c>
    </row>
    <row r="44" spans="1:5" x14ac:dyDescent="0.35">
      <c r="A44" s="1">
        <v>67</v>
      </c>
      <c r="B44" s="1">
        <v>75</v>
      </c>
      <c r="C44" s="1">
        <v>119</v>
      </c>
      <c r="D44" s="1" t="s">
        <v>32</v>
      </c>
      <c r="E44" s="1">
        <f t="shared" si="1"/>
        <v>1.0033864291985443E-3</v>
      </c>
    </row>
    <row r="45" spans="1:5" x14ac:dyDescent="0.35">
      <c r="A45" s="1">
        <v>67</v>
      </c>
      <c r="B45" s="1">
        <v>75</v>
      </c>
      <c r="C45" s="1">
        <v>119</v>
      </c>
      <c r="D45" s="1" t="s">
        <v>32</v>
      </c>
      <c r="E45" s="1">
        <f t="shared" si="1"/>
        <v>1.0033864291985443E-3</v>
      </c>
    </row>
    <row r="46" spans="1:5" x14ac:dyDescent="0.35">
      <c r="A46" s="1">
        <v>67</v>
      </c>
      <c r="B46" s="1">
        <v>75</v>
      </c>
      <c r="C46" s="1">
        <v>119</v>
      </c>
      <c r="D46" s="1" t="s">
        <v>32</v>
      </c>
      <c r="E46" s="1">
        <f t="shared" si="1"/>
        <v>1.0033864291985443E-3</v>
      </c>
    </row>
    <row r="47" spans="1:5" x14ac:dyDescent="0.35">
      <c r="A47" s="1">
        <v>67</v>
      </c>
      <c r="B47" s="1">
        <v>75</v>
      </c>
      <c r="C47" s="1">
        <v>119</v>
      </c>
      <c r="D47" s="1" t="s">
        <v>32</v>
      </c>
      <c r="E47" s="1">
        <f t="shared" si="1"/>
        <v>1.0033864291985443E-3</v>
      </c>
    </row>
    <row r="48" spans="1:5" x14ac:dyDescent="0.35">
      <c r="A48" s="1">
        <v>67</v>
      </c>
      <c r="B48" s="1">
        <v>75</v>
      </c>
      <c r="C48" s="1">
        <v>119</v>
      </c>
      <c r="D48" s="1" t="s">
        <v>32</v>
      </c>
      <c r="E48" s="1">
        <f t="shared" si="1"/>
        <v>1.0033864291985443E-3</v>
      </c>
    </row>
    <row r="49" spans="1:5" x14ac:dyDescent="0.35">
      <c r="A49" s="1">
        <v>67</v>
      </c>
      <c r="B49" s="1">
        <v>75</v>
      </c>
      <c r="C49" s="1">
        <v>119</v>
      </c>
      <c r="D49" s="1" t="s">
        <v>32</v>
      </c>
      <c r="E49" s="1">
        <f t="shared" si="1"/>
        <v>1.0033864291985443E-3</v>
      </c>
    </row>
    <row r="50" spans="1:5" x14ac:dyDescent="0.35">
      <c r="A50" s="1">
        <v>67</v>
      </c>
      <c r="B50" s="1">
        <v>75</v>
      </c>
      <c r="C50" s="1">
        <v>119</v>
      </c>
      <c r="D50" s="1" t="s">
        <v>32</v>
      </c>
      <c r="E50" s="1">
        <f t="shared" si="1"/>
        <v>1.0033864291985443E-3</v>
      </c>
    </row>
    <row r="51" spans="1:5" x14ac:dyDescent="0.35">
      <c r="A51" s="1">
        <v>67</v>
      </c>
      <c r="B51" s="1">
        <v>75</v>
      </c>
      <c r="C51" s="1">
        <v>119</v>
      </c>
      <c r="D51" s="1" t="s">
        <v>32</v>
      </c>
      <c r="E51" s="1">
        <f t="shared" si="1"/>
        <v>1.0033864291985443E-3</v>
      </c>
    </row>
    <row r="52" spans="1:5" x14ac:dyDescent="0.35">
      <c r="A52" s="1">
        <v>49</v>
      </c>
      <c r="B52" s="1">
        <v>60</v>
      </c>
      <c r="C52" s="1">
        <v>89</v>
      </c>
      <c r="D52" s="1" t="s">
        <v>32</v>
      </c>
      <c r="E52" s="1">
        <f t="shared" si="1"/>
        <v>2.522357257509746E-3</v>
      </c>
    </row>
    <row r="53" spans="1:5" x14ac:dyDescent="0.35">
      <c r="A53" s="1">
        <v>49</v>
      </c>
      <c r="B53" s="1">
        <v>60</v>
      </c>
      <c r="C53" s="1">
        <v>89</v>
      </c>
      <c r="D53" s="1" t="s">
        <v>32</v>
      </c>
      <c r="E53" s="1">
        <f t="shared" si="1"/>
        <v>2.522357257509746E-3</v>
      </c>
    </row>
    <row r="54" spans="1:5" x14ac:dyDescent="0.35">
      <c r="A54" s="1">
        <v>49</v>
      </c>
      <c r="B54" s="1">
        <v>60</v>
      </c>
      <c r="C54" s="1">
        <v>89</v>
      </c>
      <c r="D54" s="1" t="s">
        <v>32</v>
      </c>
      <c r="E54" s="1">
        <f t="shared" si="1"/>
        <v>2.522357257509746E-3</v>
      </c>
    </row>
    <row r="55" spans="1:5" x14ac:dyDescent="0.35">
      <c r="A55" s="1">
        <v>49</v>
      </c>
      <c r="B55" s="1">
        <v>60</v>
      </c>
      <c r="C55" s="1">
        <v>89</v>
      </c>
      <c r="D55" s="1" t="s">
        <v>32</v>
      </c>
      <c r="E55" s="1">
        <f t="shared" si="1"/>
        <v>2.522357257509746E-3</v>
      </c>
    </row>
    <row r="56" spans="1:5" x14ac:dyDescent="0.35">
      <c r="A56" s="1">
        <v>49</v>
      </c>
      <c r="B56" s="1">
        <v>60</v>
      </c>
      <c r="C56" s="1">
        <v>89</v>
      </c>
      <c r="D56" s="1" t="s">
        <v>32</v>
      </c>
      <c r="E56" s="1">
        <f t="shared" si="1"/>
        <v>2.522357257509746E-3</v>
      </c>
    </row>
    <row r="57" spans="1:5" x14ac:dyDescent="0.35">
      <c r="A57" s="1">
        <v>49</v>
      </c>
      <c r="B57" s="1">
        <v>60</v>
      </c>
      <c r="C57" s="1">
        <v>89</v>
      </c>
      <c r="D57" s="1" t="s">
        <v>32</v>
      </c>
      <c r="E57" s="1">
        <f t="shared" si="1"/>
        <v>2.522357257509746E-3</v>
      </c>
    </row>
    <row r="58" spans="1:5" x14ac:dyDescent="0.35">
      <c r="A58" s="1">
        <v>49</v>
      </c>
      <c r="B58" s="1">
        <v>60</v>
      </c>
      <c r="C58" s="1">
        <v>89</v>
      </c>
      <c r="D58" s="1" t="s">
        <v>32</v>
      </c>
      <c r="E58" s="1">
        <f t="shared" si="1"/>
        <v>2.522357257509746E-3</v>
      </c>
    </row>
    <row r="59" spans="1:5" x14ac:dyDescent="0.35">
      <c r="A59" s="1">
        <v>49</v>
      </c>
      <c r="B59" s="1">
        <v>60</v>
      </c>
      <c r="C59" s="1">
        <v>89</v>
      </c>
      <c r="D59" s="1" t="s">
        <v>32</v>
      </c>
      <c r="E59" s="1">
        <f t="shared" si="1"/>
        <v>2.522357257509746E-3</v>
      </c>
    </row>
    <row r="60" spans="1:5" x14ac:dyDescent="0.35">
      <c r="A60" s="1">
        <v>49</v>
      </c>
      <c r="B60" s="1">
        <v>60</v>
      </c>
      <c r="C60" s="1">
        <v>89</v>
      </c>
      <c r="D60" s="1" t="s">
        <v>32</v>
      </c>
      <c r="E60" s="1">
        <f t="shared" si="1"/>
        <v>2.522357257509746E-3</v>
      </c>
    </row>
    <row r="61" spans="1:5" x14ac:dyDescent="0.35">
      <c r="A61" s="1">
        <v>49</v>
      </c>
      <c r="B61" s="1">
        <v>60</v>
      </c>
      <c r="C61" s="1">
        <v>89</v>
      </c>
      <c r="D61" s="1" t="s">
        <v>32</v>
      </c>
      <c r="E61" s="1">
        <f t="shared" si="1"/>
        <v>2.522357257509746E-3</v>
      </c>
    </row>
    <row r="62" spans="1:5" x14ac:dyDescent="0.35">
      <c r="A62" s="1">
        <v>40</v>
      </c>
      <c r="B62" s="1">
        <v>55</v>
      </c>
      <c r="C62" s="1">
        <v>62</v>
      </c>
      <c r="D62" s="1" t="s">
        <v>32</v>
      </c>
      <c r="E62" s="1">
        <f t="shared" si="1"/>
        <v>6.0483870967741934E-3</v>
      </c>
    </row>
    <row r="63" spans="1:5" x14ac:dyDescent="0.35">
      <c r="A63" s="1">
        <v>40</v>
      </c>
      <c r="B63" s="1">
        <v>55</v>
      </c>
      <c r="C63" s="1">
        <v>62</v>
      </c>
      <c r="D63" s="1" t="s">
        <v>32</v>
      </c>
      <c r="E63" s="1">
        <f t="shared" si="1"/>
        <v>6.0483870967741934E-3</v>
      </c>
    </row>
    <row r="64" spans="1:5" x14ac:dyDescent="0.35">
      <c r="A64" s="1">
        <v>40</v>
      </c>
      <c r="B64" s="1">
        <v>55</v>
      </c>
      <c r="C64" s="1">
        <v>62</v>
      </c>
      <c r="D64" s="1" t="s">
        <v>32</v>
      </c>
      <c r="E64" s="1">
        <f t="shared" si="1"/>
        <v>6.0483870967741934E-3</v>
      </c>
    </row>
    <row r="65" spans="1:5" x14ac:dyDescent="0.35">
      <c r="A65" s="1">
        <v>40</v>
      </c>
      <c r="B65" s="1">
        <v>55</v>
      </c>
      <c r="C65" s="1">
        <v>62</v>
      </c>
      <c r="D65" s="1" t="s">
        <v>32</v>
      </c>
      <c r="E65" s="1">
        <f t="shared" si="1"/>
        <v>6.0483870967741934E-3</v>
      </c>
    </row>
    <row r="66" spans="1:5" x14ac:dyDescent="0.35">
      <c r="A66" s="1">
        <v>40</v>
      </c>
      <c r="B66" s="1">
        <v>55</v>
      </c>
      <c r="C66" s="1">
        <v>62</v>
      </c>
      <c r="D66" s="1" t="s">
        <v>32</v>
      </c>
      <c r="E66" s="1">
        <f t="shared" ref="E66:E101" si="2">((B66/A66)-1)/C66</f>
        <v>6.0483870967741934E-3</v>
      </c>
    </row>
    <row r="67" spans="1:5" x14ac:dyDescent="0.35">
      <c r="A67" s="1">
        <v>40</v>
      </c>
      <c r="B67" s="1">
        <v>55</v>
      </c>
      <c r="C67" s="1">
        <v>62</v>
      </c>
      <c r="D67" s="1" t="s">
        <v>32</v>
      </c>
      <c r="E67" s="1">
        <f t="shared" si="2"/>
        <v>6.0483870967741934E-3</v>
      </c>
    </row>
    <row r="68" spans="1:5" x14ac:dyDescent="0.35">
      <c r="A68" s="1">
        <v>40</v>
      </c>
      <c r="B68" s="1">
        <v>55</v>
      </c>
      <c r="C68" s="1">
        <v>62</v>
      </c>
      <c r="D68" s="1" t="s">
        <v>32</v>
      </c>
      <c r="E68" s="1">
        <f t="shared" si="2"/>
        <v>6.0483870967741934E-3</v>
      </c>
    </row>
    <row r="69" spans="1:5" x14ac:dyDescent="0.35">
      <c r="A69" s="1">
        <v>40</v>
      </c>
      <c r="B69" s="1">
        <v>55</v>
      </c>
      <c r="C69" s="1">
        <v>62</v>
      </c>
      <c r="D69" s="1" t="s">
        <v>32</v>
      </c>
      <c r="E69" s="1">
        <f t="shared" si="2"/>
        <v>6.0483870967741934E-3</v>
      </c>
    </row>
    <row r="70" spans="1:5" x14ac:dyDescent="0.35">
      <c r="A70" s="1">
        <v>40</v>
      </c>
      <c r="B70" s="1">
        <v>55</v>
      </c>
      <c r="C70" s="1">
        <v>62</v>
      </c>
      <c r="D70" s="1" t="s">
        <v>32</v>
      </c>
      <c r="E70" s="1">
        <f t="shared" si="2"/>
        <v>6.0483870967741934E-3</v>
      </c>
    </row>
    <row r="71" spans="1:5" x14ac:dyDescent="0.35">
      <c r="A71" s="1">
        <v>40</v>
      </c>
      <c r="B71" s="1">
        <v>55</v>
      </c>
      <c r="C71" s="1">
        <v>62</v>
      </c>
      <c r="D71" s="1" t="s">
        <v>32</v>
      </c>
      <c r="E71" s="1">
        <f t="shared" si="2"/>
        <v>6.0483870967741934E-3</v>
      </c>
    </row>
    <row r="72" spans="1:5" x14ac:dyDescent="0.35">
      <c r="A72" s="1">
        <v>27</v>
      </c>
      <c r="B72" s="1">
        <v>50</v>
      </c>
      <c r="C72" s="1">
        <v>21</v>
      </c>
      <c r="D72" s="1" t="s">
        <v>32</v>
      </c>
      <c r="E72" s="1">
        <f t="shared" si="2"/>
        <v>4.0564373897707229E-2</v>
      </c>
    </row>
    <row r="73" spans="1:5" x14ac:dyDescent="0.35">
      <c r="A73" s="1">
        <v>27</v>
      </c>
      <c r="B73" s="1">
        <v>50</v>
      </c>
      <c r="C73" s="1">
        <v>21</v>
      </c>
      <c r="D73" s="1" t="s">
        <v>32</v>
      </c>
      <c r="E73" s="1">
        <f t="shared" si="2"/>
        <v>4.0564373897707229E-2</v>
      </c>
    </row>
    <row r="74" spans="1:5" x14ac:dyDescent="0.35">
      <c r="A74" s="1">
        <v>27</v>
      </c>
      <c r="B74" s="1">
        <v>50</v>
      </c>
      <c r="C74" s="1">
        <v>21</v>
      </c>
      <c r="D74" s="1" t="s">
        <v>32</v>
      </c>
      <c r="E74" s="1">
        <f t="shared" si="2"/>
        <v>4.0564373897707229E-2</v>
      </c>
    </row>
    <row r="75" spans="1:5" x14ac:dyDescent="0.35">
      <c r="A75" s="1">
        <v>27</v>
      </c>
      <c r="B75" s="1">
        <v>50</v>
      </c>
      <c r="C75" s="1">
        <v>21</v>
      </c>
      <c r="D75" s="1" t="s">
        <v>32</v>
      </c>
      <c r="E75" s="1">
        <f t="shared" si="2"/>
        <v>4.0564373897707229E-2</v>
      </c>
    </row>
    <row r="76" spans="1:5" x14ac:dyDescent="0.35">
      <c r="A76" s="1">
        <v>27</v>
      </c>
      <c r="B76" s="1">
        <v>50</v>
      </c>
      <c r="C76" s="1">
        <v>21</v>
      </c>
      <c r="D76" s="1" t="s">
        <v>32</v>
      </c>
      <c r="E76" s="1">
        <f t="shared" si="2"/>
        <v>4.0564373897707229E-2</v>
      </c>
    </row>
    <row r="77" spans="1:5" x14ac:dyDescent="0.35">
      <c r="A77" s="1">
        <v>27</v>
      </c>
      <c r="B77" s="1">
        <v>50</v>
      </c>
      <c r="C77" s="1">
        <v>21</v>
      </c>
      <c r="D77" s="1" t="s">
        <v>32</v>
      </c>
      <c r="E77" s="1">
        <f t="shared" si="2"/>
        <v>4.0564373897707229E-2</v>
      </c>
    </row>
    <row r="78" spans="1:5" x14ac:dyDescent="0.35">
      <c r="A78" s="1">
        <v>27</v>
      </c>
      <c r="B78" s="1">
        <v>50</v>
      </c>
      <c r="C78" s="1">
        <v>21</v>
      </c>
      <c r="D78" s="1" t="s">
        <v>32</v>
      </c>
      <c r="E78" s="1">
        <f t="shared" si="2"/>
        <v>4.0564373897707229E-2</v>
      </c>
    </row>
    <row r="79" spans="1:5" x14ac:dyDescent="0.35">
      <c r="A79" s="1">
        <v>27</v>
      </c>
      <c r="B79" s="1">
        <v>50</v>
      </c>
      <c r="C79" s="1">
        <v>21</v>
      </c>
      <c r="D79" s="1" t="s">
        <v>32</v>
      </c>
      <c r="E79" s="1">
        <f t="shared" si="2"/>
        <v>4.0564373897707229E-2</v>
      </c>
    </row>
    <row r="80" spans="1:5" x14ac:dyDescent="0.35">
      <c r="A80" s="1">
        <v>27</v>
      </c>
      <c r="B80" s="1">
        <v>50</v>
      </c>
      <c r="C80" s="1">
        <v>21</v>
      </c>
      <c r="D80" s="1" t="s">
        <v>32</v>
      </c>
      <c r="E80" s="1">
        <f t="shared" si="2"/>
        <v>4.0564373897707229E-2</v>
      </c>
    </row>
    <row r="81" spans="1:9" x14ac:dyDescent="0.35">
      <c r="A81" s="1">
        <v>27</v>
      </c>
      <c r="B81" s="1">
        <v>50</v>
      </c>
      <c r="C81" s="1">
        <v>21</v>
      </c>
      <c r="D81" s="1" t="s">
        <v>32</v>
      </c>
      <c r="E81" s="1">
        <f t="shared" si="2"/>
        <v>4.0564373897707229E-2</v>
      </c>
    </row>
    <row r="82" spans="1:9" x14ac:dyDescent="0.35">
      <c r="A82" s="1">
        <v>15</v>
      </c>
      <c r="B82" s="1">
        <v>35</v>
      </c>
      <c r="C82" s="1">
        <v>13</v>
      </c>
      <c r="D82" s="1" t="s">
        <v>32</v>
      </c>
      <c r="E82" s="1">
        <f t="shared" si="2"/>
        <v>0.10256410256410257</v>
      </c>
      <c r="G82">
        <f>GEOMEAN(E82:E83)</f>
        <v>0.10256410256410257</v>
      </c>
    </row>
    <row r="83" spans="1:9" x14ac:dyDescent="0.35">
      <c r="A83" s="1">
        <v>15</v>
      </c>
      <c r="B83" s="1">
        <v>35</v>
      </c>
      <c r="C83" s="1">
        <v>13</v>
      </c>
      <c r="D83" s="1" t="s">
        <v>39</v>
      </c>
      <c r="E83" s="1">
        <f t="shared" si="2"/>
        <v>0.10256410256410257</v>
      </c>
    </row>
    <row r="84" spans="1:9" x14ac:dyDescent="0.35">
      <c r="A84" s="1">
        <v>15</v>
      </c>
      <c r="B84" s="1">
        <v>35</v>
      </c>
      <c r="C84" s="1">
        <v>13</v>
      </c>
      <c r="D84" s="1" t="s">
        <v>39</v>
      </c>
      <c r="E84" s="1">
        <f t="shared" si="2"/>
        <v>0.10256410256410257</v>
      </c>
    </row>
    <row r="85" spans="1:9" x14ac:dyDescent="0.35">
      <c r="A85" s="1">
        <v>15</v>
      </c>
      <c r="B85" s="1">
        <v>35</v>
      </c>
      <c r="C85" s="1">
        <v>13</v>
      </c>
      <c r="D85" s="1" t="s">
        <v>39</v>
      </c>
      <c r="E85" s="1">
        <f t="shared" si="2"/>
        <v>0.10256410256410257</v>
      </c>
      <c r="I85">
        <f>AVERAGE(G82:G91)</f>
        <v>0.10256410256410257</v>
      </c>
    </row>
    <row r="86" spans="1:9" x14ac:dyDescent="0.35">
      <c r="A86" s="1">
        <v>15</v>
      </c>
      <c r="B86" s="1">
        <v>35</v>
      </c>
      <c r="C86" s="1">
        <v>13</v>
      </c>
      <c r="D86" s="1" t="s">
        <v>39</v>
      </c>
      <c r="E86" s="1">
        <f t="shared" si="2"/>
        <v>0.10256410256410257</v>
      </c>
    </row>
    <row r="87" spans="1:9" x14ac:dyDescent="0.35">
      <c r="A87" s="1">
        <v>15</v>
      </c>
      <c r="B87" s="1">
        <v>35</v>
      </c>
      <c r="C87" s="1">
        <v>13</v>
      </c>
      <c r="D87" s="1" t="s">
        <v>39</v>
      </c>
      <c r="E87" s="1">
        <f t="shared" si="2"/>
        <v>0.10256410256410257</v>
      </c>
    </row>
    <row r="88" spans="1:9" x14ac:dyDescent="0.35">
      <c r="A88" s="1">
        <v>15</v>
      </c>
      <c r="B88" s="1">
        <v>35</v>
      </c>
      <c r="C88" s="1">
        <v>13</v>
      </c>
      <c r="D88" s="1" t="s">
        <v>39</v>
      </c>
      <c r="E88" s="1">
        <f t="shared" si="2"/>
        <v>0.10256410256410257</v>
      </c>
    </row>
    <row r="89" spans="1:9" x14ac:dyDescent="0.35">
      <c r="A89" s="1">
        <v>15</v>
      </c>
      <c r="B89" s="1">
        <v>35</v>
      </c>
      <c r="C89" s="1">
        <v>13</v>
      </c>
      <c r="D89" s="1" t="s">
        <v>39</v>
      </c>
      <c r="E89" s="1">
        <f t="shared" si="2"/>
        <v>0.10256410256410257</v>
      </c>
    </row>
    <row r="90" spans="1:9" x14ac:dyDescent="0.35">
      <c r="A90" s="1">
        <v>15</v>
      </c>
      <c r="B90" s="1">
        <v>35</v>
      </c>
      <c r="C90" s="1">
        <v>13</v>
      </c>
      <c r="D90" s="1" t="s">
        <v>32</v>
      </c>
      <c r="E90" s="1">
        <f t="shared" si="2"/>
        <v>0.10256410256410257</v>
      </c>
      <c r="G90">
        <f>GEOMEAN(E89:E90)</f>
        <v>0.10256410256410257</v>
      </c>
    </row>
    <row r="91" spans="1:9" x14ac:dyDescent="0.35">
      <c r="A91" s="1">
        <v>15</v>
      </c>
      <c r="B91" s="1">
        <v>35</v>
      </c>
      <c r="C91" s="1">
        <v>13</v>
      </c>
      <c r="D91" s="1" t="s">
        <v>39</v>
      </c>
      <c r="E91" s="1">
        <f t="shared" si="2"/>
        <v>0.10256410256410257</v>
      </c>
    </row>
    <row r="92" spans="1:9" x14ac:dyDescent="0.35">
      <c r="A92" s="1">
        <v>11</v>
      </c>
      <c r="B92" s="1">
        <v>30</v>
      </c>
      <c r="C92" s="1">
        <v>7</v>
      </c>
      <c r="D92" s="1" t="s">
        <v>39</v>
      </c>
      <c r="E92" s="1">
        <f t="shared" si="2"/>
        <v>0.24675324675324672</v>
      </c>
    </row>
    <row r="93" spans="1:9" x14ac:dyDescent="0.35">
      <c r="A93" s="1">
        <v>11</v>
      </c>
      <c r="B93" s="1">
        <v>30</v>
      </c>
      <c r="C93" s="1">
        <v>7</v>
      </c>
      <c r="D93" s="1" t="s">
        <v>39</v>
      </c>
      <c r="E93" s="1">
        <f t="shared" si="2"/>
        <v>0.24675324675324672</v>
      </c>
    </row>
    <row r="94" spans="1:9" x14ac:dyDescent="0.35">
      <c r="A94" s="1">
        <v>11</v>
      </c>
      <c r="B94" s="1">
        <v>30</v>
      </c>
      <c r="C94" s="1">
        <v>7</v>
      </c>
      <c r="D94" s="1" t="s">
        <v>39</v>
      </c>
      <c r="E94" s="1">
        <f t="shared" si="2"/>
        <v>0.24675324675324672</v>
      </c>
    </row>
    <row r="95" spans="1:9" x14ac:dyDescent="0.35">
      <c r="A95" s="1">
        <v>11</v>
      </c>
      <c r="B95" s="1">
        <v>30</v>
      </c>
      <c r="C95" s="1">
        <v>7</v>
      </c>
      <c r="D95" s="1" t="s">
        <v>39</v>
      </c>
      <c r="E95" s="1">
        <f t="shared" si="2"/>
        <v>0.24675324675324672</v>
      </c>
    </row>
    <row r="96" spans="1:9" x14ac:dyDescent="0.35">
      <c r="A96" s="1">
        <v>11</v>
      </c>
      <c r="B96" s="1">
        <v>30</v>
      </c>
      <c r="C96" s="1">
        <v>7</v>
      </c>
      <c r="D96" s="1" t="s">
        <v>39</v>
      </c>
      <c r="E96" s="1">
        <f t="shared" si="2"/>
        <v>0.24675324675324672</v>
      </c>
    </row>
    <row r="97" spans="1:5" x14ac:dyDescent="0.35">
      <c r="A97" s="1">
        <v>11</v>
      </c>
      <c r="B97" s="1">
        <v>30</v>
      </c>
      <c r="C97" s="1">
        <v>7</v>
      </c>
      <c r="D97" s="1" t="s">
        <v>39</v>
      </c>
      <c r="E97" s="1">
        <f t="shared" si="2"/>
        <v>0.24675324675324672</v>
      </c>
    </row>
    <row r="98" spans="1:5" x14ac:dyDescent="0.35">
      <c r="A98" s="1">
        <v>11</v>
      </c>
      <c r="B98" s="1">
        <v>30</v>
      </c>
      <c r="C98" s="1">
        <v>7</v>
      </c>
      <c r="D98" s="1" t="s">
        <v>39</v>
      </c>
      <c r="E98" s="1">
        <f t="shared" si="2"/>
        <v>0.24675324675324672</v>
      </c>
    </row>
    <row r="99" spans="1:5" x14ac:dyDescent="0.35">
      <c r="A99" s="1">
        <v>11</v>
      </c>
      <c r="B99" s="1">
        <v>30</v>
      </c>
      <c r="C99" s="1">
        <v>7</v>
      </c>
      <c r="D99" s="1" t="s">
        <v>39</v>
      </c>
      <c r="E99" s="1">
        <f t="shared" si="2"/>
        <v>0.24675324675324672</v>
      </c>
    </row>
    <row r="100" spans="1:5" x14ac:dyDescent="0.35">
      <c r="A100" s="1">
        <v>11</v>
      </c>
      <c r="B100" s="1">
        <v>30</v>
      </c>
      <c r="C100" s="1">
        <v>7</v>
      </c>
      <c r="D100" s="1" t="s">
        <v>39</v>
      </c>
      <c r="E100" s="1">
        <f t="shared" si="2"/>
        <v>0.24675324675324672</v>
      </c>
    </row>
    <row r="101" spans="1:5" x14ac:dyDescent="0.35">
      <c r="A101" s="1">
        <v>11</v>
      </c>
      <c r="B101" s="1">
        <v>30</v>
      </c>
      <c r="C101" s="1">
        <v>7</v>
      </c>
      <c r="D101" s="1" t="s">
        <v>39</v>
      </c>
      <c r="E101" s="1">
        <f t="shared" si="2"/>
        <v>0.24675324675324672</v>
      </c>
    </row>
  </sheetData>
  <sortState ref="A2:E101">
    <sortCondition ref="E7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opLeftCell="A82" workbookViewId="0">
      <selection activeCell="I86" sqref="I86"/>
    </sheetView>
  </sheetViews>
  <sheetFormatPr defaultRowHeight="14.5" x14ac:dyDescent="0.35"/>
  <cols>
    <col min="1" max="3" width="8.7265625" style="1"/>
    <col min="4" max="4" width="11.5429687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6</v>
      </c>
      <c r="E1" t="s">
        <v>49</v>
      </c>
    </row>
    <row r="2" spans="1:5" x14ac:dyDescent="0.35">
      <c r="A2" s="1">
        <v>78</v>
      </c>
      <c r="B2" s="1">
        <v>80</v>
      </c>
      <c r="C2" s="1">
        <v>162</v>
      </c>
      <c r="D2" s="1" t="s">
        <v>32</v>
      </c>
      <c r="E2">
        <f t="shared" ref="E2:E33" si="0">((B2/A2)-1)/C2</f>
        <v>1.5827793605571326E-4</v>
      </c>
    </row>
    <row r="3" spans="1:5" x14ac:dyDescent="0.35">
      <c r="A3" s="1">
        <v>78</v>
      </c>
      <c r="B3" s="1">
        <v>80</v>
      </c>
      <c r="C3" s="1">
        <v>162</v>
      </c>
      <c r="D3" s="1" t="s">
        <v>32</v>
      </c>
      <c r="E3" s="1">
        <f t="shared" si="0"/>
        <v>1.5827793605571326E-4</v>
      </c>
    </row>
    <row r="4" spans="1:5" x14ac:dyDescent="0.35">
      <c r="A4" s="1">
        <v>78</v>
      </c>
      <c r="B4" s="1">
        <v>80</v>
      </c>
      <c r="C4" s="1">
        <v>162</v>
      </c>
      <c r="D4" s="1" t="s">
        <v>32</v>
      </c>
      <c r="E4" s="1">
        <f t="shared" si="0"/>
        <v>1.5827793605571326E-4</v>
      </c>
    </row>
    <row r="5" spans="1:5" x14ac:dyDescent="0.35">
      <c r="A5" s="1">
        <v>78</v>
      </c>
      <c r="B5" s="1">
        <v>80</v>
      </c>
      <c r="C5" s="1">
        <v>162</v>
      </c>
      <c r="D5" s="1" t="s">
        <v>32</v>
      </c>
      <c r="E5" s="1">
        <f t="shared" si="0"/>
        <v>1.5827793605571326E-4</v>
      </c>
    </row>
    <row r="6" spans="1:5" x14ac:dyDescent="0.35">
      <c r="A6" s="1">
        <v>78</v>
      </c>
      <c r="B6" s="1">
        <v>80</v>
      </c>
      <c r="C6" s="1">
        <v>162</v>
      </c>
      <c r="D6" s="1" t="s">
        <v>32</v>
      </c>
      <c r="E6" s="1">
        <f t="shared" si="0"/>
        <v>1.5827793605571326E-4</v>
      </c>
    </row>
    <row r="7" spans="1:5" x14ac:dyDescent="0.35">
      <c r="A7" s="1">
        <v>78</v>
      </c>
      <c r="B7" s="1">
        <v>80</v>
      </c>
      <c r="C7" s="1">
        <v>162</v>
      </c>
      <c r="D7" s="1" t="s">
        <v>32</v>
      </c>
      <c r="E7" s="1">
        <f t="shared" si="0"/>
        <v>1.5827793605571326E-4</v>
      </c>
    </row>
    <row r="8" spans="1:5" x14ac:dyDescent="0.35">
      <c r="A8" s="1">
        <v>78</v>
      </c>
      <c r="B8" s="1">
        <v>80</v>
      </c>
      <c r="C8" s="1">
        <v>162</v>
      </c>
      <c r="D8" s="1" t="s">
        <v>32</v>
      </c>
      <c r="E8" s="1">
        <f t="shared" si="0"/>
        <v>1.5827793605571326E-4</v>
      </c>
    </row>
    <row r="9" spans="1:5" x14ac:dyDescent="0.35">
      <c r="A9" s="1">
        <v>78</v>
      </c>
      <c r="B9" s="1">
        <v>80</v>
      </c>
      <c r="C9" s="1">
        <v>162</v>
      </c>
      <c r="D9" s="1" t="s">
        <v>32</v>
      </c>
      <c r="E9" s="1">
        <f t="shared" si="0"/>
        <v>1.5827793605571326E-4</v>
      </c>
    </row>
    <row r="10" spans="1:5" x14ac:dyDescent="0.35">
      <c r="A10" s="1">
        <v>78</v>
      </c>
      <c r="B10" s="1">
        <v>80</v>
      </c>
      <c r="C10" s="1">
        <v>162</v>
      </c>
      <c r="D10" s="1" t="s">
        <v>32</v>
      </c>
      <c r="E10" s="1">
        <f t="shared" si="0"/>
        <v>1.5827793605571326E-4</v>
      </c>
    </row>
    <row r="11" spans="1:5" x14ac:dyDescent="0.35">
      <c r="A11" s="1">
        <v>78</v>
      </c>
      <c r="B11" s="1">
        <v>80</v>
      </c>
      <c r="C11" s="1">
        <v>162</v>
      </c>
      <c r="D11" s="1" t="s">
        <v>32</v>
      </c>
      <c r="E11" s="1">
        <f t="shared" si="0"/>
        <v>1.5827793605571326E-4</v>
      </c>
    </row>
    <row r="12" spans="1:5" x14ac:dyDescent="0.35">
      <c r="A12" s="1">
        <v>110</v>
      </c>
      <c r="B12" s="1">
        <v>135</v>
      </c>
      <c r="C12" s="1">
        <v>270</v>
      </c>
      <c r="D12" s="1" t="s">
        <v>32</v>
      </c>
      <c r="E12" s="1">
        <f t="shared" si="0"/>
        <v>8.4175084175084182E-4</v>
      </c>
    </row>
    <row r="13" spans="1:5" x14ac:dyDescent="0.35">
      <c r="A13" s="1">
        <v>110</v>
      </c>
      <c r="B13" s="1">
        <v>135</v>
      </c>
      <c r="C13" s="1">
        <v>270</v>
      </c>
      <c r="D13" s="1" t="s">
        <v>32</v>
      </c>
      <c r="E13" s="1">
        <f t="shared" si="0"/>
        <v>8.4175084175084182E-4</v>
      </c>
    </row>
    <row r="14" spans="1:5" x14ac:dyDescent="0.35">
      <c r="A14" s="1">
        <v>110</v>
      </c>
      <c r="B14" s="1">
        <v>135</v>
      </c>
      <c r="C14" s="1">
        <v>270</v>
      </c>
      <c r="D14" s="1" t="s">
        <v>32</v>
      </c>
      <c r="E14" s="1">
        <f t="shared" si="0"/>
        <v>8.4175084175084182E-4</v>
      </c>
    </row>
    <row r="15" spans="1:5" x14ac:dyDescent="0.35">
      <c r="A15" s="1">
        <v>110</v>
      </c>
      <c r="B15" s="1">
        <v>135</v>
      </c>
      <c r="C15" s="1">
        <v>270</v>
      </c>
      <c r="D15" s="1" t="s">
        <v>32</v>
      </c>
      <c r="E15" s="1">
        <f t="shared" si="0"/>
        <v>8.4175084175084182E-4</v>
      </c>
    </row>
    <row r="16" spans="1:5" x14ac:dyDescent="0.35">
      <c r="A16" s="1">
        <v>110</v>
      </c>
      <c r="B16" s="1">
        <v>135</v>
      </c>
      <c r="C16" s="1">
        <v>270</v>
      </c>
      <c r="D16" s="1" t="s">
        <v>32</v>
      </c>
      <c r="E16" s="1">
        <f t="shared" si="0"/>
        <v>8.4175084175084182E-4</v>
      </c>
    </row>
    <row r="17" spans="1:5" x14ac:dyDescent="0.35">
      <c r="A17" s="1">
        <v>110</v>
      </c>
      <c r="B17" s="1">
        <v>135</v>
      </c>
      <c r="C17" s="1">
        <v>270</v>
      </c>
      <c r="D17" s="1" t="s">
        <v>32</v>
      </c>
      <c r="E17" s="1">
        <f t="shared" si="0"/>
        <v>8.4175084175084182E-4</v>
      </c>
    </row>
    <row r="18" spans="1:5" x14ac:dyDescent="0.35">
      <c r="A18" s="1">
        <v>110</v>
      </c>
      <c r="B18" s="1">
        <v>135</v>
      </c>
      <c r="C18" s="1">
        <v>270</v>
      </c>
      <c r="D18" s="1" t="s">
        <v>32</v>
      </c>
      <c r="E18" s="1">
        <f t="shared" si="0"/>
        <v>8.4175084175084182E-4</v>
      </c>
    </row>
    <row r="19" spans="1:5" x14ac:dyDescent="0.35">
      <c r="A19" s="1">
        <v>110</v>
      </c>
      <c r="B19" s="1">
        <v>135</v>
      </c>
      <c r="C19" s="1">
        <v>270</v>
      </c>
      <c r="D19" s="1" t="s">
        <v>32</v>
      </c>
      <c r="E19" s="1">
        <f t="shared" si="0"/>
        <v>8.4175084175084182E-4</v>
      </c>
    </row>
    <row r="20" spans="1:5" x14ac:dyDescent="0.35">
      <c r="A20" s="1">
        <v>110</v>
      </c>
      <c r="B20" s="1">
        <v>135</v>
      </c>
      <c r="C20" s="1">
        <v>270</v>
      </c>
      <c r="D20" s="1" t="s">
        <v>32</v>
      </c>
      <c r="E20" s="1">
        <f t="shared" si="0"/>
        <v>8.4175084175084182E-4</v>
      </c>
    </row>
    <row r="21" spans="1:5" x14ac:dyDescent="0.35">
      <c r="A21" s="1">
        <v>110</v>
      </c>
      <c r="B21" s="1">
        <v>135</v>
      </c>
      <c r="C21" s="1">
        <v>270</v>
      </c>
      <c r="D21" s="1" t="s">
        <v>32</v>
      </c>
      <c r="E21" s="1">
        <f t="shared" si="0"/>
        <v>8.4175084175084182E-4</v>
      </c>
    </row>
    <row r="22" spans="1:5" x14ac:dyDescent="0.35">
      <c r="A22" s="1">
        <v>88</v>
      </c>
      <c r="B22" s="1">
        <v>105</v>
      </c>
      <c r="C22" s="1">
        <v>200</v>
      </c>
      <c r="D22" s="1" t="s">
        <v>32</v>
      </c>
      <c r="E22" s="1">
        <f t="shared" si="0"/>
        <v>9.6590909090909062E-4</v>
      </c>
    </row>
    <row r="23" spans="1:5" x14ac:dyDescent="0.35">
      <c r="A23" s="1">
        <v>88</v>
      </c>
      <c r="B23" s="1">
        <v>105</v>
      </c>
      <c r="C23" s="1">
        <v>200</v>
      </c>
      <c r="D23" s="1" t="s">
        <v>32</v>
      </c>
      <c r="E23" s="1">
        <f t="shared" si="0"/>
        <v>9.6590909090909062E-4</v>
      </c>
    </row>
    <row r="24" spans="1:5" x14ac:dyDescent="0.35">
      <c r="A24" s="1">
        <v>88</v>
      </c>
      <c r="B24" s="1">
        <v>105</v>
      </c>
      <c r="C24" s="1">
        <v>200</v>
      </c>
      <c r="D24" s="1" t="s">
        <v>32</v>
      </c>
      <c r="E24" s="1">
        <f t="shared" si="0"/>
        <v>9.6590909090909062E-4</v>
      </c>
    </row>
    <row r="25" spans="1:5" x14ac:dyDescent="0.35">
      <c r="A25" s="1">
        <v>88</v>
      </c>
      <c r="B25" s="1">
        <v>105</v>
      </c>
      <c r="C25" s="1">
        <v>200</v>
      </c>
      <c r="D25" s="1" t="s">
        <v>32</v>
      </c>
      <c r="E25" s="1">
        <f t="shared" si="0"/>
        <v>9.6590909090909062E-4</v>
      </c>
    </row>
    <row r="26" spans="1:5" x14ac:dyDescent="0.35">
      <c r="A26" s="1">
        <v>88</v>
      </c>
      <c r="B26" s="1">
        <v>105</v>
      </c>
      <c r="C26" s="1">
        <v>200</v>
      </c>
      <c r="D26" s="1" t="s">
        <v>32</v>
      </c>
      <c r="E26" s="1">
        <f t="shared" si="0"/>
        <v>9.6590909090909062E-4</v>
      </c>
    </row>
    <row r="27" spans="1:5" x14ac:dyDescent="0.35">
      <c r="A27" s="1">
        <v>88</v>
      </c>
      <c r="B27" s="1">
        <v>105</v>
      </c>
      <c r="C27" s="1">
        <v>200</v>
      </c>
      <c r="D27" s="1" t="s">
        <v>32</v>
      </c>
      <c r="E27" s="1">
        <f t="shared" si="0"/>
        <v>9.6590909090909062E-4</v>
      </c>
    </row>
    <row r="28" spans="1:5" x14ac:dyDescent="0.35">
      <c r="A28" s="1">
        <v>88</v>
      </c>
      <c r="B28" s="1">
        <v>105</v>
      </c>
      <c r="C28" s="1">
        <v>200</v>
      </c>
      <c r="D28" s="1" t="s">
        <v>32</v>
      </c>
      <c r="E28" s="1">
        <f t="shared" si="0"/>
        <v>9.6590909090909062E-4</v>
      </c>
    </row>
    <row r="29" spans="1:5" x14ac:dyDescent="0.35">
      <c r="A29" s="1">
        <v>88</v>
      </c>
      <c r="B29" s="1">
        <v>105</v>
      </c>
      <c r="C29" s="1">
        <v>200</v>
      </c>
      <c r="D29" s="1" t="s">
        <v>32</v>
      </c>
      <c r="E29" s="1">
        <f t="shared" si="0"/>
        <v>9.6590909090909062E-4</v>
      </c>
    </row>
    <row r="30" spans="1:5" x14ac:dyDescent="0.35">
      <c r="A30" s="1">
        <v>88</v>
      </c>
      <c r="B30" s="1">
        <v>105</v>
      </c>
      <c r="C30" s="1">
        <v>200</v>
      </c>
      <c r="D30" s="1" t="s">
        <v>32</v>
      </c>
      <c r="E30" s="1">
        <f t="shared" si="0"/>
        <v>9.6590909090909062E-4</v>
      </c>
    </row>
    <row r="31" spans="1:5" x14ac:dyDescent="0.35">
      <c r="A31" s="1">
        <v>88</v>
      </c>
      <c r="B31" s="1">
        <v>105</v>
      </c>
      <c r="C31" s="1">
        <v>200</v>
      </c>
      <c r="D31" s="1" t="s">
        <v>32</v>
      </c>
      <c r="E31" s="1">
        <f t="shared" si="0"/>
        <v>9.6590909090909062E-4</v>
      </c>
    </row>
    <row r="32" spans="1:5" x14ac:dyDescent="0.35">
      <c r="A32" s="1">
        <v>98</v>
      </c>
      <c r="B32" s="1">
        <v>120</v>
      </c>
      <c r="C32" s="1">
        <v>230</v>
      </c>
      <c r="D32" s="1" t="s">
        <v>32</v>
      </c>
      <c r="E32" s="1">
        <f t="shared" si="0"/>
        <v>9.7604259094942339E-4</v>
      </c>
    </row>
    <row r="33" spans="1:5" x14ac:dyDescent="0.35">
      <c r="A33" s="1">
        <v>98</v>
      </c>
      <c r="B33" s="1">
        <v>120</v>
      </c>
      <c r="C33" s="1">
        <v>230</v>
      </c>
      <c r="D33" s="1" t="s">
        <v>32</v>
      </c>
      <c r="E33" s="1">
        <f t="shared" si="0"/>
        <v>9.7604259094942339E-4</v>
      </c>
    </row>
    <row r="34" spans="1:5" x14ac:dyDescent="0.35">
      <c r="A34" s="1">
        <v>98</v>
      </c>
      <c r="B34" s="1">
        <v>120</v>
      </c>
      <c r="C34" s="1">
        <v>230</v>
      </c>
      <c r="D34" s="1" t="s">
        <v>32</v>
      </c>
      <c r="E34" s="1">
        <f t="shared" ref="E34:E65" si="1">((B34/A34)-1)/C34</f>
        <v>9.7604259094942339E-4</v>
      </c>
    </row>
    <row r="35" spans="1:5" x14ac:dyDescent="0.35">
      <c r="A35" s="1">
        <v>98</v>
      </c>
      <c r="B35" s="1">
        <v>120</v>
      </c>
      <c r="C35" s="1">
        <v>230</v>
      </c>
      <c r="D35" s="1" t="s">
        <v>32</v>
      </c>
      <c r="E35" s="1">
        <f t="shared" si="1"/>
        <v>9.7604259094942339E-4</v>
      </c>
    </row>
    <row r="36" spans="1:5" x14ac:dyDescent="0.35">
      <c r="A36" s="1">
        <v>98</v>
      </c>
      <c r="B36" s="1">
        <v>120</v>
      </c>
      <c r="C36" s="1">
        <v>230</v>
      </c>
      <c r="D36" s="1" t="s">
        <v>32</v>
      </c>
      <c r="E36" s="1">
        <f t="shared" si="1"/>
        <v>9.7604259094942339E-4</v>
      </c>
    </row>
    <row r="37" spans="1:5" x14ac:dyDescent="0.35">
      <c r="A37" s="1">
        <v>98</v>
      </c>
      <c r="B37" s="1">
        <v>120</v>
      </c>
      <c r="C37" s="1">
        <v>230</v>
      </c>
      <c r="D37" s="1" t="s">
        <v>32</v>
      </c>
      <c r="E37" s="1">
        <f t="shared" si="1"/>
        <v>9.7604259094942339E-4</v>
      </c>
    </row>
    <row r="38" spans="1:5" x14ac:dyDescent="0.35">
      <c r="A38" s="1">
        <v>98</v>
      </c>
      <c r="B38" s="1">
        <v>120</v>
      </c>
      <c r="C38" s="1">
        <v>230</v>
      </c>
      <c r="D38" s="1" t="s">
        <v>32</v>
      </c>
      <c r="E38" s="1">
        <f t="shared" si="1"/>
        <v>9.7604259094942339E-4</v>
      </c>
    </row>
    <row r="39" spans="1:5" x14ac:dyDescent="0.35">
      <c r="A39" s="1">
        <v>98</v>
      </c>
      <c r="B39" s="1">
        <v>120</v>
      </c>
      <c r="C39" s="1">
        <v>230</v>
      </c>
      <c r="D39" s="1" t="s">
        <v>32</v>
      </c>
      <c r="E39" s="1">
        <f t="shared" si="1"/>
        <v>9.7604259094942339E-4</v>
      </c>
    </row>
    <row r="40" spans="1:5" x14ac:dyDescent="0.35">
      <c r="A40" s="1">
        <v>98</v>
      </c>
      <c r="B40" s="1">
        <v>120</v>
      </c>
      <c r="C40" s="1">
        <v>230</v>
      </c>
      <c r="D40" s="1" t="s">
        <v>32</v>
      </c>
      <c r="E40" s="1">
        <f t="shared" si="1"/>
        <v>9.7604259094942339E-4</v>
      </c>
    </row>
    <row r="41" spans="1:5" x14ac:dyDescent="0.35">
      <c r="A41" s="1">
        <v>98</v>
      </c>
      <c r="B41" s="1">
        <v>120</v>
      </c>
      <c r="C41" s="1">
        <v>230</v>
      </c>
      <c r="D41" s="1" t="s">
        <v>32</v>
      </c>
      <c r="E41" s="1">
        <f t="shared" si="1"/>
        <v>9.7604259094942339E-4</v>
      </c>
    </row>
    <row r="42" spans="1:5" x14ac:dyDescent="0.35">
      <c r="A42" s="1">
        <v>67</v>
      </c>
      <c r="B42" s="1">
        <v>75</v>
      </c>
      <c r="C42" s="1">
        <v>119</v>
      </c>
      <c r="D42" s="1" t="s">
        <v>32</v>
      </c>
      <c r="E42" s="1">
        <f t="shared" si="1"/>
        <v>1.0033864291985443E-3</v>
      </c>
    </row>
    <row r="43" spans="1:5" x14ac:dyDescent="0.35">
      <c r="A43" s="1">
        <v>67</v>
      </c>
      <c r="B43" s="1">
        <v>75</v>
      </c>
      <c r="C43" s="1">
        <v>119</v>
      </c>
      <c r="D43" s="1" t="s">
        <v>32</v>
      </c>
      <c r="E43" s="1">
        <f t="shared" si="1"/>
        <v>1.0033864291985443E-3</v>
      </c>
    </row>
    <row r="44" spans="1:5" x14ac:dyDescent="0.35">
      <c r="A44" s="1">
        <v>67</v>
      </c>
      <c r="B44" s="1">
        <v>75</v>
      </c>
      <c r="C44" s="1">
        <v>119</v>
      </c>
      <c r="D44" s="1" t="s">
        <v>32</v>
      </c>
      <c r="E44" s="1">
        <f t="shared" si="1"/>
        <v>1.0033864291985443E-3</v>
      </c>
    </row>
    <row r="45" spans="1:5" x14ac:dyDescent="0.35">
      <c r="A45" s="1">
        <v>67</v>
      </c>
      <c r="B45" s="1">
        <v>75</v>
      </c>
      <c r="C45" s="1">
        <v>119</v>
      </c>
      <c r="D45" s="1" t="s">
        <v>32</v>
      </c>
      <c r="E45" s="1">
        <f t="shared" si="1"/>
        <v>1.0033864291985443E-3</v>
      </c>
    </row>
    <row r="46" spans="1:5" x14ac:dyDescent="0.35">
      <c r="A46" s="1">
        <v>67</v>
      </c>
      <c r="B46" s="1">
        <v>75</v>
      </c>
      <c r="C46" s="1">
        <v>119</v>
      </c>
      <c r="D46" s="1" t="s">
        <v>32</v>
      </c>
      <c r="E46" s="1">
        <f t="shared" si="1"/>
        <v>1.0033864291985443E-3</v>
      </c>
    </row>
    <row r="47" spans="1:5" x14ac:dyDescent="0.35">
      <c r="A47" s="1">
        <v>67</v>
      </c>
      <c r="B47" s="1">
        <v>75</v>
      </c>
      <c r="C47" s="1">
        <v>119</v>
      </c>
      <c r="D47" s="1" t="s">
        <v>32</v>
      </c>
      <c r="E47" s="1">
        <f t="shared" si="1"/>
        <v>1.0033864291985443E-3</v>
      </c>
    </row>
    <row r="48" spans="1:5" x14ac:dyDescent="0.35">
      <c r="A48" s="1">
        <v>67</v>
      </c>
      <c r="B48" s="1">
        <v>75</v>
      </c>
      <c r="C48" s="1">
        <v>119</v>
      </c>
      <c r="D48" s="1" t="s">
        <v>32</v>
      </c>
      <c r="E48" s="1">
        <f t="shared" si="1"/>
        <v>1.0033864291985443E-3</v>
      </c>
    </row>
    <row r="49" spans="1:5" x14ac:dyDescent="0.35">
      <c r="A49" s="1">
        <v>67</v>
      </c>
      <c r="B49" s="1">
        <v>75</v>
      </c>
      <c r="C49" s="1">
        <v>119</v>
      </c>
      <c r="D49" s="1" t="s">
        <v>32</v>
      </c>
      <c r="E49" s="1">
        <f t="shared" si="1"/>
        <v>1.0033864291985443E-3</v>
      </c>
    </row>
    <row r="50" spans="1:5" x14ac:dyDescent="0.35">
      <c r="A50" s="1">
        <v>67</v>
      </c>
      <c r="B50" s="1">
        <v>75</v>
      </c>
      <c r="C50" s="1">
        <v>119</v>
      </c>
      <c r="D50" s="1" t="s">
        <v>32</v>
      </c>
      <c r="E50" s="1">
        <f t="shared" si="1"/>
        <v>1.0033864291985443E-3</v>
      </c>
    </row>
    <row r="51" spans="1:5" x14ac:dyDescent="0.35">
      <c r="A51" s="1">
        <v>67</v>
      </c>
      <c r="B51" s="1">
        <v>75</v>
      </c>
      <c r="C51" s="1">
        <v>119</v>
      </c>
      <c r="D51" s="1" t="s">
        <v>32</v>
      </c>
      <c r="E51" s="1">
        <f t="shared" si="1"/>
        <v>1.0033864291985443E-3</v>
      </c>
    </row>
    <row r="52" spans="1:5" x14ac:dyDescent="0.35">
      <c r="A52" s="1">
        <v>49</v>
      </c>
      <c r="B52" s="1">
        <v>60</v>
      </c>
      <c r="C52" s="1">
        <v>89</v>
      </c>
      <c r="D52" s="1" t="s">
        <v>32</v>
      </c>
      <c r="E52" s="1">
        <f t="shared" si="1"/>
        <v>2.522357257509746E-3</v>
      </c>
    </row>
    <row r="53" spans="1:5" x14ac:dyDescent="0.35">
      <c r="A53" s="1">
        <v>49</v>
      </c>
      <c r="B53" s="1">
        <v>60</v>
      </c>
      <c r="C53" s="1">
        <v>89</v>
      </c>
      <c r="D53" s="1" t="s">
        <v>32</v>
      </c>
      <c r="E53" s="1">
        <f t="shared" si="1"/>
        <v>2.522357257509746E-3</v>
      </c>
    </row>
    <row r="54" spans="1:5" x14ac:dyDescent="0.35">
      <c r="A54" s="1">
        <v>49</v>
      </c>
      <c r="B54" s="1">
        <v>60</v>
      </c>
      <c r="C54" s="1">
        <v>89</v>
      </c>
      <c r="D54" s="1" t="s">
        <v>32</v>
      </c>
      <c r="E54" s="1">
        <f t="shared" si="1"/>
        <v>2.522357257509746E-3</v>
      </c>
    </row>
    <row r="55" spans="1:5" x14ac:dyDescent="0.35">
      <c r="A55" s="1">
        <v>49</v>
      </c>
      <c r="B55" s="1">
        <v>60</v>
      </c>
      <c r="C55" s="1">
        <v>89</v>
      </c>
      <c r="D55" s="1" t="s">
        <v>32</v>
      </c>
      <c r="E55" s="1">
        <f t="shared" si="1"/>
        <v>2.522357257509746E-3</v>
      </c>
    </row>
    <row r="56" spans="1:5" x14ac:dyDescent="0.35">
      <c r="A56" s="1">
        <v>49</v>
      </c>
      <c r="B56" s="1">
        <v>60</v>
      </c>
      <c r="C56" s="1">
        <v>89</v>
      </c>
      <c r="D56" s="1" t="s">
        <v>32</v>
      </c>
      <c r="E56" s="1">
        <f t="shared" si="1"/>
        <v>2.522357257509746E-3</v>
      </c>
    </row>
    <row r="57" spans="1:5" x14ac:dyDescent="0.35">
      <c r="A57" s="1">
        <v>49</v>
      </c>
      <c r="B57" s="1">
        <v>60</v>
      </c>
      <c r="C57" s="1">
        <v>89</v>
      </c>
      <c r="D57" s="1" t="s">
        <v>32</v>
      </c>
      <c r="E57" s="1">
        <f t="shared" si="1"/>
        <v>2.522357257509746E-3</v>
      </c>
    </row>
    <row r="58" spans="1:5" x14ac:dyDescent="0.35">
      <c r="A58" s="1">
        <v>49</v>
      </c>
      <c r="B58" s="1">
        <v>60</v>
      </c>
      <c r="C58" s="1">
        <v>89</v>
      </c>
      <c r="D58" s="1" t="s">
        <v>32</v>
      </c>
      <c r="E58" s="1">
        <f t="shared" si="1"/>
        <v>2.522357257509746E-3</v>
      </c>
    </row>
    <row r="59" spans="1:5" x14ac:dyDescent="0.35">
      <c r="A59" s="1">
        <v>49</v>
      </c>
      <c r="B59" s="1">
        <v>60</v>
      </c>
      <c r="C59" s="1">
        <v>89</v>
      </c>
      <c r="D59" s="1" t="s">
        <v>32</v>
      </c>
      <c r="E59" s="1">
        <f t="shared" si="1"/>
        <v>2.522357257509746E-3</v>
      </c>
    </row>
    <row r="60" spans="1:5" x14ac:dyDescent="0.35">
      <c r="A60" s="1">
        <v>49</v>
      </c>
      <c r="B60" s="1">
        <v>60</v>
      </c>
      <c r="C60" s="1">
        <v>89</v>
      </c>
      <c r="D60" s="1" t="s">
        <v>32</v>
      </c>
      <c r="E60" s="1">
        <f t="shared" si="1"/>
        <v>2.522357257509746E-3</v>
      </c>
    </row>
    <row r="61" spans="1:5" x14ac:dyDescent="0.35">
      <c r="A61" s="1">
        <v>49</v>
      </c>
      <c r="B61" s="1">
        <v>60</v>
      </c>
      <c r="C61" s="1">
        <v>89</v>
      </c>
      <c r="D61" s="1" t="s">
        <v>32</v>
      </c>
      <c r="E61" s="1">
        <f t="shared" si="1"/>
        <v>2.522357257509746E-3</v>
      </c>
    </row>
    <row r="62" spans="1:5" x14ac:dyDescent="0.35">
      <c r="A62" s="1">
        <v>40</v>
      </c>
      <c r="B62" s="1">
        <v>55</v>
      </c>
      <c r="C62" s="1">
        <v>62</v>
      </c>
      <c r="D62" s="1" t="s">
        <v>32</v>
      </c>
      <c r="E62" s="1">
        <f t="shared" si="1"/>
        <v>6.0483870967741934E-3</v>
      </c>
    </row>
    <row r="63" spans="1:5" x14ac:dyDescent="0.35">
      <c r="A63" s="1">
        <v>40</v>
      </c>
      <c r="B63" s="1">
        <v>55</v>
      </c>
      <c r="C63" s="1">
        <v>62</v>
      </c>
      <c r="D63" s="1" t="s">
        <v>32</v>
      </c>
      <c r="E63" s="1">
        <f t="shared" si="1"/>
        <v>6.0483870967741934E-3</v>
      </c>
    </row>
    <row r="64" spans="1:5" x14ac:dyDescent="0.35">
      <c r="A64" s="1">
        <v>40</v>
      </c>
      <c r="B64" s="1">
        <v>55</v>
      </c>
      <c r="C64" s="1">
        <v>62</v>
      </c>
      <c r="D64" s="1" t="s">
        <v>32</v>
      </c>
      <c r="E64" s="1">
        <f t="shared" si="1"/>
        <v>6.0483870967741934E-3</v>
      </c>
    </row>
    <row r="65" spans="1:5" x14ac:dyDescent="0.35">
      <c r="A65" s="1">
        <v>40</v>
      </c>
      <c r="B65" s="1">
        <v>55</v>
      </c>
      <c r="C65" s="1">
        <v>62</v>
      </c>
      <c r="D65" s="1" t="s">
        <v>32</v>
      </c>
      <c r="E65" s="1">
        <f t="shared" si="1"/>
        <v>6.0483870967741934E-3</v>
      </c>
    </row>
    <row r="66" spans="1:5" x14ac:dyDescent="0.35">
      <c r="A66" s="1">
        <v>40</v>
      </c>
      <c r="B66" s="1">
        <v>55</v>
      </c>
      <c r="C66" s="1">
        <v>62</v>
      </c>
      <c r="D66" s="1" t="s">
        <v>32</v>
      </c>
      <c r="E66" s="1">
        <f t="shared" ref="E66:E101" si="2">((B66/A66)-1)/C66</f>
        <v>6.0483870967741934E-3</v>
      </c>
    </row>
    <row r="67" spans="1:5" x14ac:dyDescent="0.35">
      <c r="A67" s="1">
        <v>40</v>
      </c>
      <c r="B67" s="1">
        <v>55</v>
      </c>
      <c r="C67" s="1">
        <v>62</v>
      </c>
      <c r="D67" s="1" t="s">
        <v>32</v>
      </c>
      <c r="E67" s="1">
        <f t="shared" si="2"/>
        <v>6.0483870967741934E-3</v>
      </c>
    </row>
    <row r="68" spans="1:5" x14ac:dyDescent="0.35">
      <c r="A68" s="1">
        <v>40</v>
      </c>
      <c r="B68" s="1">
        <v>55</v>
      </c>
      <c r="C68" s="1">
        <v>62</v>
      </c>
      <c r="D68" s="1" t="s">
        <v>32</v>
      </c>
      <c r="E68" s="1">
        <f t="shared" si="2"/>
        <v>6.0483870967741934E-3</v>
      </c>
    </row>
    <row r="69" spans="1:5" x14ac:dyDescent="0.35">
      <c r="A69" s="1">
        <v>40</v>
      </c>
      <c r="B69" s="1">
        <v>55</v>
      </c>
      <c r="C69" s="1">
        <v>62</v>
      </c>
      <c r="D69" s="1" t="s">
        <v>32</v>
      </c>
      <c r="E69" s="1">
        <f t="shared" si="2"/>
        <v>6.0483870967741934E-3</v>
      </c>
    </row>
    <row r="70" spans="1:5" x14ac:dyDescent="0.35">
      <c r="A70" s="1">
        <v>40</v>
      </c>
      <c r="B70" s="1">
        <v>55</v>
      </c>
      <c r="C70" s="1">
        <v>62</v>
      </c>
      <c r="D70" s="1" t="s">
        <v>32</v>
      </c>
      <c r="E70" s="1">
        <f t="shared" si="2"/>
        <v>6.0483870967741934E-3</v>
      </c>
    </row>
    <row r="71" spans="1:5" x14ac:dyDescent="0.35">
      <c r="A71" s="1">
        <v>40</v>
      </c>
      <c r="B71" s="1">
        <v>55</v>
      </c>
      <c r="C71" s="1">
        <v>62</v>
      </c>
      <c r="D71" s="1" t="s">
        <v>32</v>
      </c>
      <c r="E71" s="1">
        <f t="shared" si="2"/>
        <v>6.0483870967741934E-3</v>
      </c>
    </row>
    <row r="72" spans="1:5" x14ac:dyDescent="0.35">
      <c r="A72" s="1">
        <v>27</v>
      </c>
      <c r="B72" s="1">
        <v>50</v>
      </c>
      <c r="C72" s="1">
        <v>21</v>
      </c>
      <c r="D72" s="1" t="s">
        <v>32</v>
      </c>
      <c r="E72" s="1">
        <f t="shared" si="2"/>
        <v>4.0564373897707229E-2</v>
      </c>
    </row>
    <row r="73" spans="1:5" x14ac:dyDescent="0.35">
      <c r="A73" s="1">
        <v>27</v>
      </c>
      <c r="B73" s="1">
        <v>50</v>
      </c>
      <c r="C73" s="1">
        <v>21</v>
      </c>
      <c r="D73" s="1" t="s">
        <v>32</v>
      </c>
      <c r="E73" s="1">
        <f t="shared" si="2"/>
        <v>4.0564373897707229E-2</v>
      </c>
    </row>
    <row r="74" spans="1:5" x14ac:dyDescent="0.35">
      <c r="A74" s="1">
        <v>27</v>
      </c>
      <c r="B74" s="1">
        <v>50</v>
      </c>
      <c r="C74" s="1">
        <v>21</v>
      </c>
      <c r="D74" s="1" t="s">
        <v>32</v>
      </c>
      <c r="E74" s="1">
        <f t="shared" si="2"/>
        <v>4.0564373897707229E-2</v>
      </c>
    </row>
    <row r="75" spans="1:5" x14ac:dyDescent="0.35">
      <c r="A75" s="1">
        <v>27</v>
      </c>
      <c r="B75" s="1">
        <v>50</v>
      </c>
      <c r="C75" s="1">
        <v>21</v>
      </c>
      <c r="D75" s="1" t="s">
        <v>32</v>
      </c>
      <c r="E75" s="1">
        <f t="shared" si="2"/>
        <v>4.0564373897707229E-2</v>
      </c>
    </row>
    <row r="76" spans="1:5" x14ac:dyDescent="0.35">
      <c r="A76" s="1">
        <v>27</v>
      </c>
      <c r="B76" s="1">
        <v>50</v>
      </c>
      <c r="C76" s="1">
        <v>21</v>
      </c>
      <c r="D76" s="1" t="s">
        <v>32</v>
      </c>
      <c r="E76" s="1">
        <f t="shared" si="2"/>
        <v>4.0564373897707229E-2</v>
      </c>
    </row>
    <row r="77" spans="1:5" x14ac:dyDescent="0.35">
      <c r="A77" s="1">
        <v>27</v>
      </c>
      <c r="B77" s="1">
        <v>50</v>
      </c>
      <c r="C77" s="1">
        <v>21</v>
      </c>
      <c r="D77" s="1" t="s">
        <v>32</v>
      </c>
      <c r="E77" s="1">
        <f t="shared" si="2"/>
        <v>4.0564373897707229E-2</v>
      </c>
    </row>
    <row r="78" spans="1:5" x14ac:dyDescent="0.35">
      <c r="A78" s="1">
        <v>27</v>
      </c>
      <c r="B78" s="1">
        <v>50</v>
      </c>
      <c r="C78" s="1">
        <v>21</v>
      </c>
      <c r="D78" s="1" t="s">
        <v>32</v>
      </c>
      <c r="E78" s="1">
        <f t="shared" si="2"/>
        <v>4.0564373897707229E-2</v>
      </c>
    </row>
    <row r="79" spans="1:5" x14ac:dyDescent="0.35">
      <c r="A79" s="1">
        <v>27</v>
      </c>
      <c r="B79" s="1">
        <v>50</v>
      </c>
      <c r="C79" s="1">
        <v>21</v>
      </c>
      <c r="D79" s="1" t="s">
        <v>32</v>
      </c>
      <c r="E79" s="1">
        <f t="shared" si="2"/>
        <v>4.0564373897707229E-2</v>
      </c>
    </row>
    <row r="80" spans="1:5" x14ac:dyDescent="0.35">
      <c r="A80" s="1">
        <v>27</v>
      </c>
      <c r="B80" s="1">
        <v>50</v>
      </c>
      <c r="C80" s="1">
        <v>21</v>
      </c>
      <c r="D80" s="1" t="s">
        <v>32</v>
      </c>
      <c r="E80" s="1">
        <f t="shared" si="2"/>
        <v>4.0564373897707229E-2</v>
      </c>
    </row>
    <row r="81" spans="1:9" x14ac:dyDescent="0.35">
      <c r="A81" s="1">
        <v>27</v>
      </c>
      <c r="B81" s="1">
        <v>50</v>
      </c>
      <c r="C81" s="1">
        <v>21</v>
      </c>
      <c r="D81" s="1" t="s">
        <v>32</v>
      </c>
      <c r="E81" s="1">
        <f t="shared" si="2"/>
        <v>4.0564373897707229E-2</v>
      </c>
      <c r="G81">
        <f>GEOMEAN(E82:E83)</f>
        <v>0.10256410256410257</v>
      </c>
    </row>
    <row r="82" spans="1:9" x14ac:dyDescent="0.35">
      <c r="A82" s="1">
        <v>15</v>
      </c>
      <c r="B82" s="1">
        <v>35</v>
      </c>
      <c r="C82" s="1">
        <v>13</v>
      </c>
      <c r="D82" s="1" t="s">
        <v>39</v>
      </c>
      <c r="E82" s="1">
        <f t="shared" si="2"/>
        <v>0.10256410256410257</v>
      </c>
    </row>
    <row r="83" spans="1:9" x14ac:dyDescent="0.35">
      <c r="A83" s="1">
        <v>15</v>
      </c>
      <c r="B83" s="1">
        <v>35</v>
      </c>
      <c r="C83" s="1">
        <v>13</v>
      </c>
      <c r="D83" s="1" t="s">
        <v>32</v>
      </c>
      <c r="E83" s="1">
        <f t="shared" si="2"/>
        <v>0.10256410256410257</v>
      </c>
    </row>
    <row r="84" spans="1:9" x14ac:dyDescent="0.35">
      <c r="A84" s="1">
        <v>15</v>
      </c>
      <c r="B84" s="1">
        <v>35</v>
      </c>
      <c r="C84" s="1">
        <v>13</v>
      </c>
      <c r="D84" s="1" t="s">
        <v>39</v>
      </c>
      <c r="E84" s="1">
        <f t="shared" si="2"/>
        <v>0.10256410256410257</v>
      </c>
    </row>
    <row r="85" spans="1:9" x14ac:dyDescent="0.35">
      <c r="A85" s="1">
        <v>15</v>
      </c>
      <c r="B85" s="1">
        <v>35</v>
      </c>
      <c r="C85" s="1">
        <v>13</v>
      </c>
      <c r="D85" s="1" t="s">
        <v>39</v>
      </c>
      <c r="E85" s="1">
        <f t="shared" si="2"/>
        <v>0.10256410256410257</v>
      </c>
    </row>
    <row r="86" spans="1:9" x14ac:dyDescent="0.35">
      <c r="A86" s="1">
        <v>15</v>
      </c>
      <c r="B86" s="1">
        <v>35</v>
      </c>
      <c r="C86" s="1">
        <v>13</v>
      </c>
      <c r="D86" s="1" t="s">
        <v>39</v>
      </c>
      <c r="E86" s="1">
        <f t="shared" si="2"/>
        <v>0.10256410256410257</v>
      </c>
      <c r="I86">
        <f>AVERAGE(G81:G90)</f>
        <v>0.10256410256410257</v>
      </c>
    </row>
    <row r="87" spans="1:9" x14ac:dyDescent="0.35">
      <c r="A87" s="1">
        <v>15</v>
      </c>
      <c r="B87" s="1">
        <v>35</v>
      </c>
      <c r="C87" s="1">
        <v>13</v>
      </c>
      <c r="D87" s="1" t="s">
        <v>39</v>
      </c>
      <c r="E87" s="1">
        <f t="shared" si="2"/>
        <v>0.10256410256410257</v>
      </c>
    </row>
    <row r="88" spans="1:9" x14ac:dyDescent="0.35">
      <c r="A88" s="1">
        <v>15</v>
      </c>
      <c r="B88" s="1">
        <v>35</v>
      </c>
      <c r="C88" s="1">
        <v>13</v>
      </c>
      <c r="D88" s="1" t="s">
        <v>39</v>
      </c>
      <c r="E88" s="1">
        <f t="shared" si="2"/>
        <v>0.10256410256410257</v>
      </c>
    </row>
    <row r="89" spans="1:9" x14ac:dyDescent="0.35">
      <c r="A89" s="1">
        <v>15</v>
      </c>
      <c r="B89" s="1">
        <v>35</v>
      </c>
      <c r="C89" s="1">
        <v>13</v>
      </c>
      <c r="D89" s="1" t="s">
        <v>39</v>
      </c>
      <c r="E89" s="1">
        <f t="shared" si="2"/>
        <v>0.10256410256410257</v>
      </c>
    </row>
    <row r="90" spans="1:9" x14ac:dyDescent="0.35">
      <c r="A90" s="1">
        <v>15</v>
      </c>
      <c r="B90" s="1">
        <v>35</v>
      </c>
      <c r="C90" s="1">
        <v>13</v>
      </c>
      <c r="D90" s="1" t="s">
        <v>39</v>
      </c>
      <c r="E90" s="1">
        <f t="shared" si="2"/>
        <v>0.10256410256410257</v>
      </c>
      <c r="G90">
        <f>GEOMEAN(E90:E91)</f>
        <v>0.10256410256410257</v>
      </c>
    </row>
    <row r="91" spans="1:9" x14ac:dyDescent="0.35">
      <c r="A91" s="1">
        <v>15</v>
      </c>
      <c r="B91" s="1">
        <v>35</v>
      </c>
      <c r="C91" s="1">
        <v>13</v>
      </c>
      <c r="D91" s="1" t="s">
        <v>32</v>
      </c>
      <c r="E91" s="1">
        <f t="shared" si="2"/>
        <v>0.10256410256410257</v>
      </c>
    </row>
    <row r="92" spans="1:9" x14ac:dyDescent="0.35">
      <c r="A92" s="1">
        <v>11</v>
      </c>
      <c r="B92" s="1">
        <v>30</v>
      </c>
      <c r="C92" s="1">
        <v>7</v>
      </c>
      <c r="D92" s="1" t="s">
        <v>39</v>
      </c>
      <c r="E92" s="1">
        <f t="shared" si="2"/>
        <v>0.24675324675324672</v>
      </c>
    </row>
    <row r="93" spans="1:9" x14ac:dyDescent="0.35">
      <c r="A93" s="1">
        <v>11</v>
      </c>
      <c r="B93" s="1">
        <v>30</v>
      </c>
      <c r="C93" s="1">
        <v>7</v>
      </c>
      <c r="D93" s="1" t="s">
        <v>39</v>
      </c>
      <c r="E93" s="1">
        <f t="shared" si="2"/>
        <v>0.24675324675324672</v>
      </c>
    </row>
    <row r="94" spans="1:9" x14ac:dyDescent="0.35">
      <c r="A94" s="1">
        <v>11</v>
      </c>
      <c r="B94" s="1">
        <v>30</v>
      </c>
      <c r="C94" s="1">
        <v>7</v>
      </c>
      <c r="D94" s="1" t="s">
        <v>39</v>
      </c>
      <c r="E94" s="1">
        <f t="shared" si="2"/>
        <v>0.24675324675324672</v>
      </c>
    </row>
    <row r="95" spans="1:9" x14ac:dyDescent="0.35">
      <c r="A95" s="1">
        <v>11</v>
      </c>
      <c r="B95" s="1">
        <v>30</v>
      </c>
      <c r="C95" s="1">
        <v>7</v>
      </c>
      <c r="D95" s="1" t="s">
        <v>39</v>
      </c>
      <c r="E95" s="1">
        <f t="shared" si="2"/>
        <v>0.24675324675324672</v>
      </c>
    </row>
    <row r="96" spans="1:9" x14ac:dyDescent="0.35">
      <c r="A96" s="1">
        <v>11</v>
      </c>
      <c r="B96" s="1">
        <v>30</v>
      </c>
      <c r="C96" s="1">
        <v>7</v>
      </c>
      <c r="D96" s="1" t="s">
        <v>39</v>
      </c>
      <c r="E96" s="1">
        <f t="shared" si="2"/>
        <v>0.24675324675324672</v>
      </c>
    </row>
    <row r="97" spans="1:5" x14ac:dyDescent="0.35">
      <c r="A97" s="1">
        <v>11</v>
      </c>
      <c r="B97" s="1">
        <v>30</v>
      </c>
      <c r="C97" s="1">
        <v>7</v>
      </c>
      <c r="D97" s="1" t="s">
        <v>39</v>
      </c>
      <c r="E97" s="1">
        <f t="shared" si="2"/>
        <v>0.24675324675324672</v>
      </c>
    </row>
    <row r="98" spans="1:5" x14ac:dyDescent="0.35">
      <c r="A98" s="1">
        <v>11</v>
      </c>
      <c r="B98" s="1">
        <v>30</v>
      </c>
      <c r="C98" s="1">
        <v>7</v>
      </c>
      <c r="D98" s="1" t="s">
        <v>39</v>
      </c>
      <c r="E98" s="1">
        <f t="shared" si="2"/>
        <v>0.24675324675324672</v>
      </c>
    </row>
    <row r="99" spans="1:5" x14ac:dyDescent="0.35">
      <c r="A99" s="1">
        <v>11</v>
      </c>
      <c r="B99" s="1">
        <v>30</v>
      </c>
      <c r="C99" s="1">
        <v>7</v>
      </c>
      <c r="D99" s="1" t="s">
        <v>39</v>
      </c>
      <c r="E99" s="1">
        <f t="shared" si="2"/>
        <v>0.24675324675324672</v>
      </c>
    </row>
    <row r="100" spans="1:5" x14ac:dyDescent="0.35">
      <c r="A100" s="1">
        <v>11</v>
      </c>
      <c r="B100" s="1">
        <v>30</v>
      </c>
      <c r="C100" s="1">
        <v>7</v>
      </c>
      <c r="D100" s="1" t="s">
        <v>39</v>
      </c>
      <c r="E100" s="1">
        <f t="shared" si="2"/>
        <v>0.24675324675324672</v>
      </c>
    </row>
    <row r="101" spans="1:5" x14ac:dyDescent="0.35">
      <c r="A101" s="1">
        <v>11</v>
      </c>
      <c r="B101" s="1">
        <v>30</v>
      </c>
      <c r="C101" s="1">
        <v>7</v>
      </c>
      <c r="D101" s="1" t="s">
        <v>39</v>
      </c>
      <c r="E101" s="1">
        <f t="shared" si="2"/>
        <v>0.24675324675324672</v>
      </c>
    </row>
  </sheetData>
  <sortState ref="A2:E101">
    <sortCondition ref="E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opLeftCell="A76" workbookViewId="0">
      <selection activeCell="G103" sqref="G103"/>
    </sheetView>
  </sheetViews>
  <sheetFormatPr defaultRowHeight="14.5" x14ac:dyDescent="0.35"/>
  <cols>
    <col min="1" max="3" width="8.7265625" style="1"/>
    <col min="4" max="4" width="11.269531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6</v>
      </c>
      <c r="E1" t="s">
        <v>49</v>
      </c>
    </row>
    <row r="2" spans="1:5" x14ac:dyDescent="0.35">
      <c r="A2" s="1">
        <v>78</v>
      </c>
      <c r="B2" s="1">
        <v>80</v>
      </c>
      <c r="C2" s="1">
        <v>162</v>
      </c>
      <c r="D2" s="1" t="s">
        <v>32</v>
      </c>
      <c r="E2">
        <f t="shared" ref="E2:E33" si="0">((B2/A2)-1)/C2</f>
        <v>1.5827793605571326E-4</v>
      </c>
    </row>
    <row r="3" spans="1:5" x14ac:dyDescent="0.35">
      <c r="A3" s="1">
        <v>78</v>
      </c>
      <c r="B3" s="1">
        <v>80</v>
      </c>
      <c r="C3" s="1">
        <v>162</v>
      </c>
      <c r="D3" s="1" t="s">
        <v>32</v>
      </c>
      <c r="E3" s="1">
        <f t="shared" si="0"/>
        <v>1.5827793605571326E-4</v>
      </c>
    </row>
    <row r="4" spans="1:5" x14ac:dyDescent="0.35">
      <c r="A4" s="1">
        <v>78</v>
      </c>
      <c r="B4" s="1">
        <v>80</v>
      </c>
      <c r="C4" s="1">
        <v>162</v>
      </c>
      <c r="D4" s="1" t="s">
        <v>32</v>
      </c>
      <c r="E4" s="1">
        <f t="shared" si="0"/>
        <v>1.5827793605571326E-4</v>
      </c>
    </row>
    <row r="5" spans="1:5" x14ac:dyDescent="0.35">
      <c r="A5" s="1">
        <v>78</v>
      </c>
      <c r="B5" s="1">
        <v>80</v>
      </c>
      <c r="C5" s="1">
        <v>162</v>
      </c>
      <c r="D5" s="1" t="s">
        <v>32</v>
      </c>
      <c r="E5" s="1">
        <f t="shared" si="0"/>
        <v>1.5827793605571326E-4</v>
      </c>
    </row>
    <row r="6" spans="1:5" x14ac:dyDescent="0.35">
      <c r="A6" s="1">
        <v>78</v>
      </c>
      <c r="B6" s="1">
        <v>80</v>
      </c>
      <c r="C6" s="1">
        <v>162</v>
      </c>
      <c r="D6" s="1" t="s">
        <v>32</v>
      </c>
      <c r="E6" s="1">
        <f t="shared" si="0"/>
        <v>1.5827793605571326E-4</v>
      </c>
    </row>
    <row r="7" spans="1:5" x14ac:dyDescent="0.35">
      <c r="A7" s="1">
        <v>78</v>
      </c>
      <c r="B7" s="1">
        <v>80</v>
      </c>
      <c r="C7" s="1">
        <v>162</v>
      </c>
      <c r="D7" s="1" t="s">
        <v>32</v>
      </c>
      <c r="E7" s="1">
        <f t="shared" si="0"/>
        <v>1.5827793605571326E-4</v>
      </c>
    </row>
    <row r="8" spans="1:5" x14ac:dyDescent="0.35">
      <c r="A8" s="1">
        <v>78</v>
      </c>
      <c r="B8" s="1">
        <v>80</v>
      </c>
      <c r="C8" s="1">
        <v>162</v>
      </c>
      <c r="D8" s="1" t="s">
        <v>32</v>
      </c>
      <c r="E8" s="1">
        <f t="shared" si="0"/>
        <v>1.5827793605571326E-4</v>
      </c>
    </row>
    <row r="9" spans="1:5" x14ac:dyDescent="0.35">
      <c r="A9" s="1">
        <v>78</v>
      </c>
      <c r="B9" s="1">
        <v>80</v>
      </c>
      <c r="C9" s="1">
        <v>162</v>
      </c>
      <c r="D9" s="1" t="s">
        <v>32</v>
      </c>
      <c r="E9" s="1">
        <f t="shared" si="0"/>
        <v>1.5827793605571326E-4</v>
      </c>
    </row>
    <row r="10" spans="1:5" x14ac:dyDescent="0.35">
      <c r="A10" s="1">
        <v>78</v>
      </c>
      <c r="B10" s="1">
        <v>80</v>
      </c>
      <c r="C10" s="1">
        <v>162</v>
      </c>
      <c r="D10" s="1" t="s">
        <v>32</v>
      </c>
      <c r="E10" s="1">
        <f t="shared" si="0"/>
        <v>1.5827793605571326E-4</v>
      </c>
    </row>
    <row r="11" spans="1:5" x14ac:dyDescent="0.35">
      <c r="A11" s="1">
        <v>78</v>
      </c>
      <c r="B11" s="1">
        <v>80</v>
      </c>
      <c r="C11" s="1">
        <v>162</v>
      </c>
      <c r="D11" s="1" t="s">
        <v>32</v>
      </c>
      <c r="E11" s="1">
        <f t="shared" si="0"/>
        <v>1.5827793605571326E-4</v>
      </c>
    </row>
    <row r="12" spans="1:5" x14ac:dyDescent="0.35">
      <c r="A12" s="1">
        <v>110</v>
      </c>
      <c r="B12" s="1">
        <v>135</v>
      </c>
      <c r="C12" s="1">
        <v>270</v>
      </c>
      <c r="D12" s="1" t="s">
        <v>32</v>
      </c>
      <c r="E12" s="1">
        <f t="shared" si="0"/>
        <v>8.4175084175084182E-4</v>
      </c>
    </row>
    <row r="13" spans="1:5" x14ac:dyDescent="0.35">
      <c r="A13" s="1">
        <v>110</v>
      </c>
      <c r="B13" s="1">
        <v>135</v>
      </c>
      <c r="C13" s="1">
        <v>270</v>
      </c>
      <c r="D13" s="1" t="s">
        <v>32</v>
      </c>
      <c r="E13" s="1">
        <f t="shared" si="0"/>
        <v>8.4175084175084182E-4</v>
      </c>
    </row>
    <row r="14" spans="1:5" x14ac:dyDescent="0.35">
      <c r="A14" s="1">
        <v>110</v>
      </c>
      <c r="B14" s="1">
        <v>135</v>
      </c>
      <c r="C14" s="1">
        <v>270</v>
      </c>
      <c r="D14" s="1" t="s">
        <v>32</v>
      </c>
      <c r="E14" s="1">
        <f t="shared" si="0"/>
        <v>8.4175084175084182E-4</v>
      </c>
    </row>
    <row r="15" spans="1:5" x14ac:dyDescent="0.35">
      <c r="A15" s="1">
        <v>110</v>
      </c>
      <c r="B15" s="1">
        <v>135</v>
      </c>
      <c r="C15" s="1">
        <v>270</v>
      </c>
      <c r="D15" s="1" t="s">
        <v>32</v>
      </c>
      <c r="E15" s="1">
        <f t="shared" si="0"/>
        <v>8.4175084175084182E-4</v>
      </c>
    </row>
    <row r="16" spans="1:5" x14ac:dyDescent="0.35">
      <c r="A16" s="1">
        <v>110</v>
      </c>
      <c r="B16" s="1">
        <v>135</v>
      </c>
      <c r="C16" s="1">
        <v>270</v>
      </c>
      <c r="D16" s="1" t="s">
        <v>32</v>
      </c>
      <c r="E16" s="1">
        <f t="shared" si="0"/>
        <v>8.4175084175084182E-4</v>
      </c>
    </row>
    <row r="17" spans="1:5" x14ac:dyDescent="0.35">
      <c r="A17" s="1">
        <v>110</v>
      </c>
      <c r="B17" s="1">
        <v>135</v>
      </c>
      <c r="C17" s="1">
        <v>270</v>
      </c>
      <c r="D17" s="1" t="s">
        <v>32</v>
      </c>
      <c r="E17" s="1">
        <f t="shared" si="0"/>
        <v>8.4175084175084182E-4</v>
      </c>
    </row>
    <row r="18" spans="1:5" x14ac:dyDescent="0.35">
      <c r="A18" s="1">
        <v>110</v>
      </c>
      <c r="B18" s="1">
        <v>135</v>
      </c>
      <c r="C18" s="1">
        <v>270</v>
      </c>
      <c r="D18" s="1" t="s">
        <v>32</v>
      </c>
      <c r="E18" s="1">
        <f t="shared" si="0"/>
        <v>8.4175084175084182E-4</v>
      </c>
    </row>
    <row r="19" spans="1:5" x14ac:dyDescent="0.35">
      <c r="A19" s="1">
        <v>110</v>
      </c>
      <c r="B19" s="1">
        <v>135</v>
      </c>
      <c r="C19" s="1">
        <v>270</v>
      </c>
      <c r="D19" s="1" t="s">
        <v>32</v>
      </c>
      <c r="E19" s="1">
        <f t="shared" si="0"/>
        <v>8.4175084175084182E-4</v>
      </c>
    </row>
    <row r="20" spans="1:5" x14ac:dyDescent="0.35">
      <c r="A20" s="1">
        <v>110</v>
      </c>
      <c r="B20" s="1">
        <v>135</v>
      </c>
      <c r="C20" s="1">
        <v>270</v>
      </c>
      <c r="D20" s="1" t="s">
        <v>32</v>
      </c>
      <c r="E20" s="1">
        <f t="shared" si="0"/>
        <v>8.4175084175084182E-4</v>
      </c>
    </row>
    <row r="21" spans="1:5" x14ac:dyDescent="0.35">
      <c r="A21" s="1">
        <v>110</v>
      </c>
      <c r="B21" s="1">
        <v>135</v>
      </c>
      <c r="C21" s="1">
        <v>270</v>
      </c>
      <c r="D21" s="1" t="s">
        <v>32</v>
      </c>
      <c r="E21" s="1">
        <f t="shared" si="0"/>
        <v>8.4175084175084182E-4</v>
      </c>
    </row>
    <row r="22" spans="1:5" x14ac:dyDescent="0.35">
      <c r="A22" s="1">
        <v>88</v>
      </c>
      <c r="B22" s="1">
        <v>105</v>
      </c>
      <c r="C22" s="1">
        <v>200</v>
      </c>
      <c r="D22" s="1" t="s">
        <v>32</v>
      </c>
      <c r="E22" s="1">
        <f t="shared" si="0"/>
        <v>9.6590909090909062E-4</v>
      </c>
    </row>
    <row r="23" spans="1:5" x14ac:dyDescent="0.35">
      <c r="A23" s="1">
        <v>88</v>
      </c>
      <c r="B23" s="1">
        <v>105</v>
      </c>
      <c r="C23" s="1">
        <v>200</v>
      </c>
      <c r="D23" s="1" t="s">
        <v>32</v>
      </c>
      <c r="E23" s="1">
        <f t="shared" si="0"/>
        <v>9.6590909090909062E-4</v>
      </c>
    </row>
    <row r="24" spans="1:5" x14ac:dyDescent="0.35">
      <c r="A24" s="1">
        <v>88</v>
      </c>
      <c r="B24" s="1">
        <v>105</v>
      </c>
      <c r="C24" s="1">
        <v>200</v>
      </c>
      <c r="D24" s="1" t="s">
        <v>32</v>
      </c>
      <c r="E24" s="1">
        <f t="shared" si="0"/>
        <v>9.6590909090909062E-4</v>
      </c>
    </row>
    <row r="25" spans="1:5" x14ac:dyDescent="0.35">
      <c r="A25" s="1">
        <v>88</v>
      </c>
      <c r="B25" s="1">
        <v>105</v>
      </c>
      <c r="C25" s="1">
        <v>200</v>
      </c>
      <c r="D25" s="1" t="s">
        <v>32</v>
      </c>
      <c r="E25" s="1">
        <f t="shared" si="0"/>
        <v>9.6590909090909062E-4</v>
      </c>
    </row>
    <row r="26" spans="1:5" x14ac:dyDescent="0.35">
      <c r="A26" s="1">
        <v>88</v>
      </c>
      <c r="B26" s="1">
        <v>105</v>
      </c>
      <c r="C26" s="1">
        <v>200</v>
      </c>
      <c r="D26" s="1" t="s">
        <v>32</v>
      </c>
      <c r="E26" s="1">
        <f t="shared" si="0"/>
        <v>9.6590909090909062E-4</v>
      </c>
    </row>
    <row r="27" spans="1:5" x14ac:dyDescent="0.35">
      <c r="A27" s="1">
        <v>88</v>
      </c>
      <c r="B27" s="1">
        <v>105</v>
      </c>
      <c r="C27" s="1">
        <v>200</v>
      </c>
      <c r="D27" s="1" t="s">
        <v>32</v>
      </c>
      <c r="E27" s="1">
        <f t="shared" si="0"/>
        <v>9.6590909090909062E-4</v>
      </c>
    </row>
    <row r="28" spans="1:5" x14ac:dyDescent="0.35">
      <c r="A28" s="1">
        <v>88</v>
      </c>
      <c r="B28" s="1">
        <v>105</v>
      </c>
      <c r="C28" s="1">
        <v>200</v>
      </c>
      <c r="D28" s="1" t="s">
        <v>32</v>
      </c>
      <c r="E28" s="1">
        <f t="shared" si="0"/>
        <v>9.6590909090909062E-4</v>
      </c>
    </row>
    <row r="29" spans="1:5" x14ac:dyDescent="0.35">
      <c r="A29" s="1">
        <v>88</v>
      </c>
      <c r="B29" s="1">
        <v>105</v>
      </c>
      <c r="C29" s="1">
        <v>200</v>
      </c>
      <c r="D29" s="1" t="s">
        <v>32</v>
      </c>
      <c r="E29" s="1">
        <f t="shared" si="0"/>
        <v>9.6590909090909062E-4</v>
      </c>
    </row>
    <row r="30" spans="1:5" x14ac:dyDescent="0.35">
      <c r="A30" s="1">
        <v>88</v>
      </c>
      <c r="B30" s="1">
        <v>105</v>
      </c>
      <c r="C30" s="1">
        <v>200</v>
      </c>
      <c r="D30" s="1" t="s">
        <v>32</v>
      </c>
      <c r="E30" s="1">
        <f t="shared" si="0"/>
        <v>9.6590909090909062E-4</v>
      </c>
    </row>
    <row r="31" spans="1:5" x14ac:dyDescent="0.35">
      <c r="A31" s="1">
        <v>88</v>
      </c>
      <c r="B31" s="1">
        <v>105</v>
      </c>
      <c r="C31" s="1">
        <v>200</v>
      </c>
      <c r="D31" s="1" t="s">
        <v>32</v>
      </c>
      <c r="E31" s="1">
        <f t="shared" si="0"/>
        <v>9.6590909090909062E-4</v>
      </c>
    </row>
    <row r="32" spans="1:5" x14ac:dyDescent="0.35">
      <c r="A32" s="1">
        <v>98</v>
      </c>
      <c r="B32" s="1">
        <v>120</v>
      </c>
      <c r="C32" s="1">
        <v>230</v>
      </c>
      <c r="D32" s="1" t="s">
        <v>32</v>
      </c>
      <c r="E32" s="1">
        <f t="shared" si="0"/>
        <v>9.7604259094942339E-4</v>
      </c>
    </row>
    <row r="33" spans="1:5" x14ac:dyDescent="0.35">
      <c r="A33" s="1">
        <v>98</v>
      </c>
      <c r="B33" s="1">
        <v>120</v>
      </c>
      <c r="C33" s="1">
        <v>230</v>
      </c>
      <c r="D33" s="1" t="s">
        <v>32</v>
      </c>
      <c r="E33" s="1">
        <f t="shared" si="0"/>
        <v>9.7604259094942339E-4</v>
      </c>
    </row>
    <row r="34" spans="1:5" x14ac:dyDescent="0.35">
      <c r="A34" s="1">
        <v>98</v>
      </c>
      <c r="B34" s="1">
        <v>120</v>
      </c>
      <c r="C34" s="1">
        <v>230</v>
      </c>
      <c r="D34" s="1" t="s">
        <v>32</v>
      </c>
      <c r="E34" s="1">
        <f t="shared" ref="E34:E65" si="1">((B34/A34)-1)/C34</f>
        <v>9.7604259094942339E-4</v>
      </c>
    </row>
    <row r="35" spans="1:5" x14ac:dyDescent="0.35">
      <c r="A35" s="1">
        <v>98</v>
      </c>
      <c r="B35" s="1">
        <v>120</v>
      </c>
      <c r="C35" s="1">
        <v>230</v>
      </c>
      <c r="D35" s="1" t="s">
        <v>32</v>
      </c>
      <c r="E35" s="1">
        <f t="shared" si="1"/>
        <v>9.7604259094942339E-4</v>
      </c>
    </row>
    <row r="36" spans="1:5" x14ac:dyDescent="0.35">
      <c r="A36" s="1">
        <v>98</v>
      </c>
      <c r="B36" s="1">
        <v>120</v>
      </c>
      <c r="C36" s="1">
        <v>230</v>
      </c>
      <c r="D36" s="1" t="s">
        <v>32</v>
      </c>
      <c r="E36" s="1">
        <f t="shared" si="1"/>
        <v>9.7604259094942339E-4</v>
      </c>
    </row>
    <row r="37" spans="1:5" x14ac:dyDescent="0.35">
      <c r="A37" s="1">
        <v>98</v>
      </c>
      <c r="B37" s="1">
        <v>120</v>
      </c>
      <c r="C37" s="1">
        <v>230</v>
      </c>
      <c r="D37" s="1" t="s">
        <v>32</v>
      </c>
      <c r="E37" s="1">
        <f t="shared" si="1"/>
        <v>9.7604259094942339E-4</v>
      </c>
    </row>
    <row r="38" spans="1:5" x14ac:dyDescent="0.35">
      <c r="A38" s="1">
        <v>98</v>
      </c>
      <c r="B38" s="1">
        <v>120</v>
      </c>
      <c r="C38" s="1">
        <v>230</v>
      </c>
      <c r="D38" s="1" t="s">
        <v>32</v>
      </c>
      <c r="E38" s="1">
        <f t="shared" si="1"/>
        <v>9.7604259094942339E-4</v>
      </c>
    </row>
    <row r="39" spans="1:5" x14ac:dyDescent="0.35">
      <c r="A39" s="1">
        <v>98</v>
      </c>
      <c r="B39" s="1">
        <v>120</v>
      </c>
      <c r="C39" s="1">
        <v>230</v>
      </c>
      <c r="D39" s="1" t="s">
        <v>32</v>
      </c>
      <c r="E39" s="1">
        <f t="shared" si="1"/>
        <v>9.7604259094942339E-4</v>
      </c>
    </row>
    <row r="40" spans="1:5" x14ac:dyDescent="0.35">
      <c r="A40" s="1">
        <v>98</v>
      </c>
      <c r="B40" s="1">
        <v>120</v>
      </c>
      <c r="C40" s="1">
        <v>230</v>
      </c>
      <c r="D40" s="1" t="s">
        <v>32</v>
      </c>
      <c r="E40" s="1">
        <f t="shared" si="1"/>
        <v>9.7604259094942339E-4</v>
      </c>
    </row>
    <row r="41" spans="1:5" x14ac:dyDescent="0.35">
      <c r="A41" s="1">
        <v>98</v>
      </c>
      <c r="B41" s="1">
        <v>120</v>
      </c>
      <c r="C41" s="1">
        <v>230</v>
      </c>
      <c r="D41" s="1" t="s">
        <v>32</v>
      </c>
      <c r="E41" s="1">
        <f t="shared" si="1"/>
        <v>9.7604259094942339E-4</v>
      </c>
    </row>
    <row r="42" spans="1:5" x14ac:dyDescent="0.35">
      <c r="A42" s="1">
        <v>67</v>
      </c>
      <c r="B42" s="1">
        <v>75</v>
      </c>
      <c r="C42" s="1">
        <v>119</v>
      </c>
      <c r="D42" s="1" t="s">
        <v>32</v>
      </c>
      <c r="E42" s="1">
        <f t="shared" si="1"/>
        <v>1.0033864291985443E-3</v>
      </c>
    </row>
    <row r="43" spans="1:5" x14ac:dyDescent="0.35">
      <c r="A43" s="1">
        <v>67</v>
      </c>
      <c r="B43" s="1">
        <v>75</v>
      </c>
      <c r="C43" s="1">
        <v>119</v>
      </c>
      <c r="D43" s="1" t="s">
        <v>32</v>
      </c>
      <c r="E43" s="1">
        <f t="shared" si="1"/>
        <v>1.0033864291985443E-3</v>
      </c>
    </row>
    <row r="44" spans="1:5" x14ac:dyDescent="0.35">
      <c r="A44" s="1">
        <v>67</v>
      </c>
      <c r="B44" s="1">
        <v>75</v>
      </c>
      <c r="C44" s="1">
        <v>119</v>
      </c>
      <c r="D44" s="1" t="s">
        <v>32</v>
      </c>
      <c r="E44" s="1">
        <f t="shared" si="1"/>
        <v>1.0033864291985443E-3</v>
      </c>
    </row>
    <row r="45" spans="1:5" x14ac:dyDescent="0.35">
      <c r="A45" s="1">
        <v>67</v>
      </c>
      <c r="B45" s="1">
        <v>75</v>
      </c>
      <c r="C45" s="1">
        <v>119</v>
      </c>
      <c r="D45" s="1" t="s">
        <v>32</v>
      </c>
      <c r="E45" s="1">
        <f t="shared" si="1"/>
        <v>1.0033864291985443E-3</v>
      </c>
    </row>
    <row r="46" spans="1:5" x14ac:dyDescent="0.35">
      <c r="A46" s="1">
        <v>67</v>
      </c>
      <c r="B46" s="1">
        <v>75</v>
      </c>
      <c r="C46" s="1">
        <v>119</v>
      </c>
      <c r="D46" s="1" t="s">
        <v>32</v>
      </c>
      <c r="E46" s="1">
        <f t="shared" si="1"/>
        <v>1.0033864291985443E-3</v>
      </c>
    </row>
    <row r="47" spans="1:5" x14ac:dyDescent="0.35">
      <c r="A47" s="1">
        <v>67</v>
      </c>
      <c r="B47" s="1">
        <v>75</v>
      </c>
      <c r="C47" s="1">
        <v>119</v>
      </c>
      <c r="D47" s="1" t="s">
        <v>32</v>
      </c>
      <c r="E47" s="1">
        <f t="shared" si="1"/>
        <v>1.0033864291985443E-3</v>
      </c>
    </row>
    <row r="48" spans="1:5" x14ac:dyDescent="0.35">
      <c r="A48" s="1">
        <v>67</v>
      </c>
      <c r="B48" s="1">
        <v>75</v>
      </c>
      <c r="C48" s="1">
        <v>119</v>
      </c>
      <c r="D48" s="1" t="s">
        <v>32</v>
      </c>
      <c r="E48" s="1">
        <f t="shared" si="1"/>
        <v>1.0033864291985443E-3</v>
      </c>
    </row>
    <row r="49" spans="1:5" x14ac:dyDescent="0.35">
      <c r="A49" s="1">
        <v>67</v>
      </c>
      <c r="B49" s="1">
        <v>75</v>
      </c>
      <c r="C49" s="1">
        <v>119</v>
      </c>
      <c r="D49" s="1" t="s">
        <v>32</v>
      </c>
      <c r="E49" s="1">
        <f t="shared" si="1"/>
        <v>1.0033864291985443E-3</v>
      </c>
    </row>
    <row r="50" spans="1:5" x14ac:dyDescent="0.35">
      <c r="A50" s="1">
        <v>67</v>
      </c>
      <c r="B50" s="1">
        <v>75</v>
      </c>
      <c r="C50" s="1">
        <v>119</v>
      </c>
      <c r="D50" s="1" t="s">
        <v>32</v>
      </c>
      <c r="E50" s="1">
        <f t="shared" si="1"/>
        <v>1.0033864291985443E-3</v>
      </c>
    </row>
    <row r="51" spans="1:5" x14ac:dyDescent="0.35">
      <c r="A51" s="1">
        <v>67</v>
      </c>
      <c r="B51" s="1">
        <v>75</v>
      </c>
      <c r="C51" s="1">
        <v>119</v>
      </c>
      <c r="D51" s="1" t="s">
        <v>32</v>
      </c>
      <c r="E51" s="1">
        <f t="shared" si="1"/>
        <v>1.0033864291985443E-3</v>
      </c>
    </row>
    <row r="52" spans="1:5" x14ac:dyDescent="0.35">
      <c r="A52" s="1">
        <v>49</v>
      </c>
      <c r="B52" s="1">
        <v>60</v>
      </c>
      <c r="C52" s="1">
        <v>89</v>
      </c>
      <c r="D52" s="1" t="s">
        <v>32</v>
      </c>
      <c r="E52" s="1">
        <f t="shared" si="1"/>
        <v>2.522357257509746E-3</v>
      </c>
    </row>
    <row r="53" spans="1:5" x14ac:dyDescent="0.35">
      <c r="A53" s="1">
        <v>49</v>
      </c>
      <c r="B53" s="1">
        <v>60</v>
      </c>
      <c r="C53" s="1">
        <v>89</v>
      </c>
      <c r="D53" s="1" t="s">
        <v>32</v>
      </c>
      <c r="E53" s="1">
        <f t="shared" si="1"/>
        <v>2.522357257509746E-3</v>
      </c>
    </row>
    <row r="54" spans="1:5" x14ac:dyDescent="0.35">
      <c r="A54" s="1">
        <v>49</v>
      </c>
      <c r="B54" s="1">
        <v>60</v>
      </c>
      <c r="C54" s="1">
        <v>89</v>
      </c>
      <c r="D54" s="1" t="s">
        <v>32</v>
      </c>
      <c r="E54" s="1">
        <f t="shared" si="1"/>
        <v>2.522357257509746E-3</v>
      </c>
    </row>
    <row r="55" spans="1:5" x14ac:dyDescent="0.35">
      <c r="A55" s="1">
        <v>49</v>
      </c>
      <c r="B55" s="1">
        <v>60</v>
      </c>
      <c r="C55" s="1">
        <v>89</v>
      </c>
      <c r="D55" s="1" t="s">
        <v>32</v>
      </c>
      <c r="E55" s="1">
        <f t="shared" si="1"/>
        <v>2.522357257509746E-3</v>
      </c>
    </row>
    <row r="56" spans="1:5" x14ac:dyDescent="0.35">
      <c r="A56" s="1">
        <v>49</v>
      </c>
      <c r="B56" s="1">
        <v>60</v>
      </c>
      <c r="C56" s="1">
        <v>89</v>
      </c>
      <c r="D56" s="1" t="s">
        <v>32</v>
      </c>
      <c r="E56" s="1">
        <f t="shared" si="1"/>
        <v>2.522357257509746E-3</v>
      </c>
    </row>
    <row r="57" spans="1:5" x14ac:dyDescent="0.35">
      <c r="A57" s="1">
        <v>49</v>
      </c>
      <c r="B57" s="1">
        <v>60</v>
      </c>
      <c r="C57" s="1">
        <v>89</v>
      </c>
      <c r="D57" s="1" t="s">
        <v>32</v>
      </c>
      <c r="E57" s="1">
        <f t="shared" si="1"/>
        <v>2.522357257509746E-3</v>
      </c>
    </row>
    <row r="58" spans="1:5" x14ac:dyDescent="0.35">
      <c r="A58" s="1">
        <v>49</v>
      </c>
      <c r="B58" s="1">
        <v>60</v>
      </c>
      <c r="C58" s="1">
        <v>89</v>
      </c>
      <c r="D58" s="1" t="s">
        <v>32</v>
      </c>
      <c r="E58" s="1">
        <f t="shared" si="1"/>
        <v>2.522357257509746E-3</v>
      </c>
    </row>
    <row r="59" spans="1:5" x14ac:dyDescent="0.35">
      <c r="A59" s="1">
        <v>49</v>
      </c>
      <c r="B59" s="1">
        <v>60</v>
      </c>
      <c r="C59" s="1">
        <v>89</v>
      </c>
      <c r="D59" s="1" t="s">
        <v>32</v>
      </c>
      <c r="E59" s="1">
        <f t="shared" si="1"/>
        <v>2.522357257509746E-3</v>
      </c>
    </row>
    <row r="60" spans="1:5" x14ac:dyDescent="0.35">
      <c r="A60" s="1">
        <v>49</v>
      </c>
      <c r="B60" s="1">
        <v>60</v>
      </c>
      <c r="C60" s="1">
        <v>89</v>
      </c>
      <c r="D60" s="1" t="s">
        <v>32</v>
      </c>
      <c r="E60" s="1">
        <f t="shared" si="1"/>
        <v>2.522357257509746E-3</v>
      </c>
    </row>
    <row r="61" spans="1:5" x14ac:dyDescent="0.35">
      <c r="A61" s="1">
        <v>49</v>
      </c>
      <c r="B61" s="1">
        <v>60</v>
      </c>
      <c r="C61" s="1">
        <v>89</v>
      </c>
      <c r="D61" s="1" t="s">
        <v>32</v>
      </c>
      <c r="E61" s="1">
        <f t="shared" si="1"/>
        <v>2.522357257509746E-3</v>
      </c>
    </row>
    <row r="62" spans="1:5" x14ac:dyDescent="0.35">
      <c r="A62" s="1">
        <v>40</v>
      </c>
      <c r="B62" s="1">
        <v>55</v>
      </c>
      <c r="C62" s="1">
        <v>62</v>
      </c>
      <c r="D62" s="1" t="s">
        <v>32</v>
      </c>
      <c r="E62" s="1">
        <f t="shared" si="1"/>
        <v>6.0483870967741934E-3</v>
      </c>
    </row>
    <row r="63" spans="1:5" x14ac:dyDescent="0.35">
      <c r="A63" s="1">
        <v>40</v>
      </c>
      <c r="B63" s="1">
        <v>55</v>
      </c>
      <c r="C63" s="1">
        <v>62</v>
      </c>
      <c r="D63" s="1" t="s">
        <v>32</v>
      </c>
      <c r="E63" s="1">
        <f t="shared" si="1"/>
        <v>6.0483870967741934E-3</v>
      </c>
    </row>
    <row r="64" spans="1:5" x14ac:dyDescent="0.35">
      <c r="A64" s="1">
        <v>40</v>
      </c>
      <c r="B64" s="1">
        <v>55</v>
      </c>
      <c r="C64" s="1">
        <v>62</v>
      </c>
      <c r="D64" s="1" t="s">
        <v>32</v>
      </c>
      <c r="E64" s="1">
        <f t="shared" si="1"/>
        <v>6.0483870967741934E-3</v>
      </c>
    </row>
    <row r="65" spans="1:5" x14ac:dyDescent="0.35">
      <c r="A65" s="1">
        <v>40</v>
      </c>
      <c r="B65" s="1">
        <v>55</v>
      </c>
      <c r="C65" s="1">
        <v>62</v>
      </c>
      <c r="D65" s="1" t="s">
        <v>32</v>
      </c>
      <c r="E65" s="1">
        <f t="shared" si="1"/>
        <v>6.0483870967741934E-3</v>
      </c>
    </row>
    <row r="66" spans="1:5" x14ac:dyDescent="0.35">
      <c r="A66" s="1">
        <v>40</v>
      </c>
      <c r="B66" s="1">
        <v>55</v>
      </c>
      <c r="C66" s="1">
        <v>62</v>
      </c>
      <c r="D66" s="1" t="s">
        <v>32</v>
      </c>
      <c r="E66" s="1">
        <f t="shared" ref="E66:E101" si="2">((B66/A66)-1)/C66</f>
        <v>6.0483870967741934E-3</v>
      </c>
    </row>
    <row r="67" spans="1:5" x14ac:dyDescent="0.35">
      <c r="A67" s="1">
        <v>40</v>
      </c>
      <c r="B67" s="1">
        <v>55</v>
      </c>
      <c r="C67" s="1">
        <v>62</v>
      </c>
      <c r="D67" s="1" t="s">
        <v>32</v>
      </c>
      <c r="E67" s="1">
        <f t="shared" si="2"/>
        <v>6.0483870967741934E-3</v>
      </c>
    </row>
    <row r="68" spans="1:5" x14ac:dyDescent="0.35">
      <c r="A68" s="1">
        <v>40</v>
      </c>
      <c r="B68" s="1">
        <v>55</v>
      </c>
      <c r="C68" s="1">
        <v>62</v>
      </c>
      <c r="D68" s="1" t="s">
        <v>32</v>
      </c>
      <c r="E68" s="1">
        <f t="shared" si="2"/>
        <v>6.0483870967741934E-3</v>
      </c>
    </row>
    <row r="69" spans="1:5" x14ac:dyDescent="0.35">
      <c r="A69" s="1">
        <v>40</v>
      </c>
      <c r="B69" s="1">
        <v>55</v>
      </c>
      <c r="C69" s="1">
        <v>62</v>
      </c>
      <c r="D69" s="1" t="s">
        <v>32</v>
      </c>
      <c r="E69" s="1">
        <f t="shared" si="2"/>
        <v>6.0483870967741934E-3</v>
      </c>
    </row>
    <row r="70" spans="1:5" x14ac:dyDescent="0.35">
      <c r="A70" s="1">
        <v>40</v>
      </c>
      <c r="B70" s="1">
        <v>55</v>
      </c>
      <c r="C70" s="1">
        <v>62</v>
      </c>
      <c r="D70" s="1" t="s">
        <v>32</v>
      </c>
      <c r="E70" s="1">
        <f t="shared" si="2"/>
        <v>6.0483870967741934E-3</v>
      </c>
    </row>
    <row r="71" spans="1:5" x14ac:dyDescent="0.35">
      <c r="A71" s="1">
        <v>40</v>
      </c>
      <c r="B71" s="1">
        <v>55</v>
      </c>
      <c r="C71" s="1">
        <v>62</v>
      </c>
      <c r="D71" s="1" t="s">
        <v>32</v>
      </c>
      <c r="E71" s="1">
        <f t="shared" si="2"/>
        <v>6.0483870967741934E-3</v>
      </c>
    </row>
    <row r="72" spans="1:5" x14ac:dyDescent="0.35">
      <c r="A72" s="1">
        <v>27</v>
      </c>
      <c r="B72" s="1">
        <v>50</v>
      </c>
      <c r="C72" s="1">
        <v>21</v>
      </c>
      <c r="D72" s="1" t="s">
        <v>32</v>
      </c>
      <c r="E72" s="1">
        <f t="shared" si="2"/>
        <v>4.0564373897707229E-2</v>
      </c>
    </row>
    <row r="73" spans="1:5" x14ac:dyDescent="0.35">
      <c r="A73" s="1">
        <v>27</v>
      </c>
      <c r="B73" s="1">
        <v>50</v>
      </c>
      <c r="C73" s="1">
        <v>21</v>
      </c>
      <c r="D73" s="1" t="s">
        <v>32</v>
      </c>
      <c r="E73" s="1">
        <f t="shared" si="2"/>
        <v>4.0564373897707229E-2</v>
      </c>
    </row>
    <row r="74" spans="1:5" x14ac:dyDescent="0.35">
      <c r="A74" s="1">
        <v>27</v>
      </c>
      <c r="B74" s="1">
        <v>50</v>
      </c>
      <c r="C74" s="1">
        <v>21</v>
      </c>
      <c r="D74" s="1" t="s">
        <v>32</v>
      </c>
      <c r="E74" s="1">
        <f t="shared" si="2"/>
        <v>4.0564373897707229E-2</v>
      </c>
    </row>
    <row r="75" spans="1:5" x14ac:dyDescent="0.35">
      <c r="A75" s="1">
        <v>27</v>
      </c>
      <c r="B75" s="1">
        <v>50</v>
      </c>
      <c r="C75" s="1">
        <v>21</v>
      </c>
      <c r="D75" s="1" t="s">
        <v>32</v>
      </c>
      <c r="E75" s="1">
        <f t="shared" si="2"/>
        <v>4.0564373897707229E-2</v>
      </c>
    </row>
    <row r="76" spans="1:5" x14ac:dyDescent="0.35">
      <c r="A76" s="1">
        <v>27</v>
      </c>
      <c r="B76" s="1">
        <v>50</v>
      </c>
      <c r="C76" s="1">
        <v>21</v>
      </c>
      <c r="D76" s="1" t="s">
        <v>32</v>
      </c>
      <c r="E76" s="1">
        <f t="shared" si="2"/>
        <v>4.0564373897707229E-2</v>
      </c>
    </row>
    <row r="77" spans="1:5" x14ac:dyDescent="0.35">
      <c r="A77" s="1">
        <v>27</v>
      </c>
      <c r="B77" s="1">
        <v>50</v>
      </c>
      <c r="C77" s="1">
        <v>21</v>
      </c>
      <c r="D77" s="1" t="s">
        <v>32</v>
      </c>
      <c r="E77" s="1">
        <f t="shared" si="2"/>
        <v>4.0564373897707229E-2</v>
      </c>
    </row>
    <row r="78" spans="1:5" x14ac:dyDescent="0.35">
      <c r="A78" s="1">
        <v>27</v>
      </c>
      <c r="B78" s="1">
        <v>50</v>
      </c>
      <c r="C78" s="1">
        <v>21</v>
      </c>
      <c r="D78" s="1" t="s">
        <v>32</v>
      </c>
      <c r="E78" s="1">
        <f t="shared" si="2"/>
        <v>4.0564373897707229E-2</v>
      </c>
    </row>
    <row r="79" spans="1:5" x14ac:dyDescent="0.35">
      <c r="A79" s="1">
        <v>27</v>
      </c>
      <c r="B79" s="1">
        <v>50</v>
      </c>
      <c r="C79" s="1">
        <v>21</v>
      </c>
      <c r="D79" s="1" t="s">
        <v>32</v>
      </c>
      <c r="E79" s="1">
        <f t="shared" si="2"/>
        <v>4.0564373897707229E-2</v>
      </c>
    </row>
    <row r="80" spans="1:5" x14ac:dyDescent="0.35">
      <c r="A80" s="1">
        <v>27</v>
      </c>
      <c r="B80" s="1">
        <v>50</v>
      </c>
      <c r="C80" s="1">
        <v>21</v>
      </c>
      <c r="D80" s="1" t="s">
        <v>32</v>
      </c>
      <c r="E80" s="1">
        <f t="shared" si="2"/>
        <v>4.0564373897707229E-2</v>
      </c>
    </row>
    <row r="81" spans="1:10" x14ac:dyDescent="0.35">
      <c r="A81" s="1">
        <v>27</v>
      </c>
      <c r="B81" s="1">
        <v>50</v>
      </c>
      <c r="C81" s="1">
        <v>21</v>
      </c>
      <c r="D81" s="1" t="s">
        <v>32</v>
      </c>
      <c r="E81" s="1">
        <f t="shared" si="2"/>
        <v>4.0564373897707229E-2</v>
      </c>
      <c r="G81">
        <f>GEOMEAN(E81:E82)</f>
        <v>6.4501539554440476E-2</v>
      </c>
    </row>
    <row r="82" spans="1:10" x14ac:dyDescent="0.35">
      <c r="A82" s="1">
        <v>15</v>
      </c>
      <c r="B82" s="1">
        <v>35</v>
      </c>
      <c r="C82" s="1">
        <v>13</v>
      </c>
      <c r="D82" s="1" t="s">
        <v>39</v>
      </c>
      <c r="E82" s="1">
        <f t="shared" si="2"/>
        <v>0.10256410256410257</v>
      </c>
    </row>
    <row r="83" spans="1:10" x14ac:dyDescent="0.35">
      <c r="A83" s="1">
        <v>15</v>
      </c>
      <c r="B83" s="1">
        <v>35</v>
      </c>
      <c r="C83" s="1">
        <v>13</v>
      </c>
      <c r="D83" s="1" t="s">
        <v>39</v>
      </c>
      <c r="E83" s="1">
        <f t="shared" si="2"/>
        <v>0.10256410256410257</v>
      </c>
    </row>
    <row r="84" spans="1:10" x14ac:dyDescent="0.35">
      <c r="A84" s="1">
        <v>15</v>
      </c>
      <c r="B84" s="1">
        <v>35</v>
      </c>
      <c r="C84" s="1">
        <v>13</v>
      </c>
      <c r="D84" s="1" t="s">
        <v>39</v>
      </c>
      <c r="E84" s="1">
        <f t="shared" si="2"/>
        <v>0.10256410256410257</v>
      </c>
    </row>
    <row r="85" spans="1:10" x14ac:dyDescent="0.35">
      <c r="A85" s="1">
        <v>15</v>
      </c>
      <c r="B85" s="1">
        <v>35</v>
      </c>
      <c r="C85" s="1">
        <v>13</v>
      </c>
      <c r="D85" s="1" t="s">
        <v>39</v>
      </c>
      <c r="E85" s="1">
        <f t="shared" si="2"/>
        <v>0.10256410256410257</v>
      </c>
    </row>
    <row r="86" spans="1:10" x14ac:dyDescent="0.35">
      <c r="A86" s="1">
        <v>15</v>
      </c>
      <c r="B86" s="1">
        <v>35</v>
      </c>
      <c r="C86" s="1">
        <v>13</v>
      </c>
      <c r="D86" s="1" t="s">
        <v>39</v>
      </c>
      <c r="E86" s="1">
        <f t="shared" si="2"/>
        <v>0.10256410256410257</v>
      </c>
      <c r="G86">
        <f>GEOMEAN(E87:E88)</f>
        <v>0.10256410256410257</v>
      </c>
    </row>
    <row r="87" spans="1:10" x14ac:dyDescent="0.35">
      <c r="A87" s="1">
        <v>15</v>
      </c>
      <c r="B87" s="1">
        <v>35</v>
      </c>
      <c r="C87" s="1">
        <v>13</v>
      </c>
      <c r="D87" s="1" t="s">
        <v>39</v>
      </c>
      <c r="E87" s="1">
        <f t="shared" si="2"/>
        <v>0.10256410256410257</v>
      </c>
    </row>
    <row r="88" spans="1:10" x14ac:dyDescent="0.35">
      <c r="A88" s="1">
        <v>15</v>
      </c>
      <c r="B88" s="1">
        <v>35</v>
      </c>
      <c r="C88" s="1">
        <v>13</v>
      </c>
      <c r="D88" s="1" t="s">
        <v>32</v>
      </c>
      <c r="E88" s="1">
        <f t="shared" si="2"/>
        <v>0.10256410256410257</v>
      </c>
    </row>
    <row r="89" spans="1:10" x14ac:dyDescent="0.35">
      <c r="A89" s="1">
        <v>15</v>
      </c>
      <c r="B89" s="1">
        <v>35</v>
      </c>
      <c r="C89" s="1">
        <v>13</v>
      </c>
      <c r="D89" s="1" t="s">
        <v>32</v>
      </c>
      <c r="E89" s="1">
        <f t="shared" si="2"/>
        <v>0.10256410256410257</v>
      </c>
      <c r="G89">
        <f>GEOMEAN(E89:E90)</f>
        <v>0.10256410256410257</v>
      </c>
      <c r="J89">
        <f>AVERAGE(G81:G96)</f>
        <v>0.1290957478589731</v>
      </c>
    </row>
    <row r="90" spans="1:10" x14ac:dyDescent="0.35">
      <c r="A90" s="1">
        <v>15</v>
      </c>
      <c r="B90" s="1">
        <v>35</v>
      </c>
      <c r="C90" s="1">
        <v>13</v>
      </c>
      <c r="D90" s="1" t="s">
        <v>39</v>
      </c>
      <c r="E90" s="1">
        <f t="shared" si="2"/>
        <v>0.10256410256410257</v>
      </c>
    </row>
    <row r="91" spans="1:10" x14ac:dyDescent="0.35">
      <c r="A91" s="1">
        <v>15</v>
      </c>
      <c r="B91" s="1">
        <v>35</v>
      </c>
      <c r="C91" s="1">
        <v>13</v>
      </c>
      <c r="D91" s="1" t="s">
        <v>39</v>
      </c>
      <c r="E91" s="1">
        <f t="shared" si="2"/>
        <v>0.10256410256410257</v>
      </c>
    </row>
    <row r="92" spans="1:10" x14ac:dyDescent="0.35">
      <c r="A92" s="1">
        <v>11</v>
      </c>
      <c r="B92" s="1">
        <v>30</v>
      </c>
      <c r="C92" s="1">
        <v>7</v>
      </c>
      <c r="D92" s="1" t="s">
        <v>39</v>
      </c>
      <c r="E92" s="1">
        <f t="shared" si="2"/>
        <v>0.24675324675324672</v>
      </c>
    </row>
    <row r="93" spans="1:10" x14ac:dyDescent="0.35">
      <c r="A93" s="1">
        <v>11</v>
      </c>
      <c r="B93" s="1">
        <v>30</v>
      </c>
      <c r="C93" s="1">
        <v>7</v>
      </c>
      <c r="D93" s="1" t="s">
        <v>39</v>
      </c>
      <c r="E93" s="1">
        <f t="shared" si="2"/>
        <v>0.24675324675324672</v>
      </c>
    </row>
    <row r="94" spans="1:10" x14ac:dyDescent="0.35">
      <c r="A94" s="1">
        <v>11</v>
      </c>
      <c r="B94" s="1">
        <v>30</v>
      </c>
      <c r="C94" s="1">
        <v>7</v>
      </c>
      <c r="D94" s="1" t="s">
        <v>39</v>
      </c>
      <c r="E94" s="1">
        <f t="shared" si="2"/>
        <v>0.24675324675324672</v>
      </c>
    </row>
    <row r="95" spans="1:10" x14ac:dyDescent="0.35">
      <c r="A95" s="1">
        <v>11</v>
      </c>
      <c r="B95" s="1">
        <v>30</v>
      </c>
      <c r="C95" s="1">
        <v>7</v>
      </c>
      <c r="D95" s="1" t="s">
        <v>39</v>
      </c>
      <c r="E95" s="1">
        <f t="shared" si="2"/>
        <v>0.24675324675324672</v>
      </c>
    </row>
    <row r="96" spans="1:10" x14ac:dyDescent="0.35">
      <c r="A96" s="1">
        <v>11</v>
      </c>
      <c r="B96" s="1">
        <v>30</v>
      </c>
      <c r="C96" s="1">
        <v>7</v>
      </c>
      <c r="D96" s="1" t="s">
        <v>39</v>
      </c>
      <c r="E96" s="1">
        <f t="shared" si="2"/>
        <v>0.24675324675324672</v>
      </c>
      <c r="G96">
        <f>GEOMEAN(E96:E97)</f>
        <v>0.24675324675324672</v>
      </c>
    </row>
    <row r="97" spans="1:5" x14ac:dyDescent="0.35">
      <c r="A97" s="1">
        <v>11</v>
      </c>
      <c r="B97" s="1">
        <v>30</v>
      </c>
      <c r="C97" s="1">
        <v>7</v>
      </c>
      <c r="D97" s="1" t="s">
        <v>32</v>
      </c>
      <c r="E97" s="1">
        <f t="shared" si="2"/>
        <v>0.24675324675324672</v>
      </c>
    </row>
    <row r="98" spans="1:5" x14ac:dyDescent="0.35">
      <c r="A98" s="1">
        <v>11</v>
      </c>
      <c r="B98" s="1">
        <v>30</v>
      </c>
      <c r="C98" s="1">
        <v>7</v>
      </c>
      <c r="D98" s="1" t="s">
        <v>39</v>
      </c>
      <c r="E98" s="1">
        <f t="shared" si="2"/>
        <v>0.24675324675324672</v>
      </c>
    </row>
    <row r="99" spans="1:5" x14ac:dyDescent="0.35">
      <c r="A99" s="1">
        <v>11</v>
      </c>
      <c r="B99" s="1">
        <v>30</v>
      </c>
      <c r="C99" s="1">
        <v>7</v>
      </c>
      <c r="D99" s="1" t="s">
        <v>39</v>
      </c>
      <c r="E99" s="1">
        <f t="shared" si="2"/>
        <v>0.24675324675324672</v>
      </c>
    </row>
    <row r="100" spans="1:5" x14ac:dyDescent="0.35">
      <c r="A100" s="1">
        <v>11</v>
      </c>
      <c r="B100" s="1">
        <v>30</v>
      </c>
      <c r="C100" s="1">
        <v>7</v>
      </c>
      <c r="D100" s="1" t="s">
        <v>39</v>
      </c>
      <c r="E100" s="1">
        <f t="shared" si="2"/>
        <v>0.24675324675324672</v>
      </c>
    </row>
    <row r="101" spans="1:5" x14ac:dyDescent="0.35">
      <c r="A101" s="1">
        <v>11</v>
      </c>
      <c r="B101" s="1">
        <v>30</v>
      </c>
      <c r="C101" s="1">
        <v>7</v>
      </c>
      <c r="D101" s="1" t="s">
        <v>39</v>
      </c>
      <c r="E101" s="1">
        <f t="shared" si="2"/>
        <v>0.24675324675324672</v>
      </c>
    </row>
  </sheetData>
  <sortState ref="A2:E101">
    <sortCondition ref="E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participant1</vt:lpstr>
      <vt:lpstr>participant2</vt:lpstr>
      <vt:lpstr>participant3</vt:lpstr>
      <vt:lpstr>participant4</vt:lpstr>
      <vt:lpstr>Sheet5</vt:lpstr>
      <vt:lpstr>Sheet6</vt:lpstr>
      <vt:lpstr>Sheet7</vt:lpstr>
      <vt:lpstr>Sheet8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ASHISH</dc:creator>
  <cp:lastModifiedBy>ABHISHEK ASHISH</cp:lastModifiedBy>
  <dcterms:created xsi:type="dcterms:W3CDTF">2025-11-04T04:44:35Z</dcterms:created>
  <dcterms:modified xsi:type="dcterms:W3CDTF">2025-11-06T11:56:53Z</dcterms:modified>
</cp:coreProperties>
</file>